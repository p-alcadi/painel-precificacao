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Pedro\Desktop\"/>
    </mc:Choice>
  </mc:AlternateContent>
  <bookViews>
    <workbookView xWindow="0" yWindow="0" windowWidth="20490" windowHeight="7755"/>
  </bookViews>
  <sheets>
    <sheet name="Calculadora" sheetId="4" r:id="rId1"/>
    <sheet name="Saved" sheetId="6" state="hidden" r:id="rId2"/>
    <sheet name="Orçamentos Salvos" sheetId="8" r:id="rId3"/>
    <sheet name="Custos Fixos" sheetId="2" r:id="rId4"/>
    <sheet name="Dados" sheetId="3" r:id="rId5"/>
    <sheet name="Validações" sheetId="5" state="hidden" r:id="rId6"/>
  </sheets>
  <functionGroups builtInGroupCount="18"/>
  <definedNames>
    <definedName name="Serviços">OFFSET(Dados!$C$3, 0, 0, COUNTA(Dados!$C$3:$C$50), 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8" l="1"/>
  <c r="J26" i="4"/>
  <c r="J27" i="4" s="1"/>
  <c r="J23" i="4"/>
  <c r="J22" i="4"/>
  <c r="J18" i="4"/>
  <c r="J7" i="4"/>
  <c r="J6" i="4"/>
  <c r="J5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6" i="4"/>
  <c r="G7" i="4"/>
  <c r="G8" i="4"/>
  <c r="G9" i="4"/>
  <c r="G10" i="4"/>
  <c r="G11" i="4"/>
  <c r="J4" i="2" l="1"/>
  <c r="J3" i="2"/>
  <c r="J5" i="2" l="1"/>
  <c r="J6" i="2" l="1"/>
</calcChain>
</file>

<file path=xl/sharedStrings.xml><?xml version="1.0" encoding="utf-8"?>
<sst xmlns="http://schemas.openxmlformats.org/spreadsheetml/2006/main" count="156" uniqueCount="100">
  <si>
    <t>Pesquisa</t>
  </si>
  <si>
    <t>Valor da hora</t>
  </si>
  <si>
    <t>Descrição</t>
  </si>
  <si>
    <t>Nº de participantes</t>
  </si>
  <si>
    <t>Relatório Parcial</t>
  </si>
  <si>
    <t>Testagem</t>
  </si>
  <si>
    <t>Validação</t>
  </si>
  <si>
    <t>Jurídico</t>
  </si>
  <si>
    <t>Desenvolvimento</t>
  </si>
  <si>
    <t>Dados</t>
  </si>
  <si>
    <t>Despesas fixas anuais</t>
  </si>
  <si>
    <t>Tipo</t>
  </si>
  <si>
    <t>Valor</t>
  </si>
  <si>
    <t>Contador</t>
  </si>
  <si>
    <t>Ferramentas MKT + Vendas</t>
  </si>
  <si>
    <t>Hospedagem Site</t>
  </si>
  <si>
    <t>Domínio Site</t>
  </si>
  <si>
    <t>Semestralidade</t>
  </si>
  <si>
    <t>Ads</t>
  </si>
  <si>
    <t>Treinamentos</t>
  </si>
  <si>
    <t>TEJ</t>
  </si>
  <si>
    <t>Gastos Sede</t>
  </si>
  <si>
    <t>PS</t>
  </si>
  <si>
    <t>Despesas por ano</t>
  </si>
  <si>
    <t>Impostos</t>
  </si>
  <si>
    <t>Imposto</t>
  </si>
  <si>
    <t>Taxa Polícia</t>
  </si>
  <si>
    <t>IR</t>
  </si>
  <si>
    <t>Impostos por ano</t>
  </si>
  <si>
    <t>Serviço</t>
  </si>
  <si>
    <t>Etapas</t>
  </si>
  <si>
    <t>Totais</t>
  </si>
  <si>
    <t>Notas dos Critérios de Lucro</t>
  </si>
  <si>
    <t>Alto</t>
  </si>
  <si>
    <t>Baixo</t>
  </si>
  <si>
    <t>Médio</t>
  </si>
  <si>
    <t>Preço final</t>
  </si>
  <si>
    <t>Método de pagamento</t>
  </si>
  <si>
    <t>Parcelado</t>
  </si>
  <si>
    <t>À vista</t>
  </si>
  <si>
    <t>Etapa do serviço</t>
  </si>
  <si>
    <t>Horas de Trabalho</t>
  </si>
  <si>
    <t>Custo da etapa</t>
  </si>
  <si>
    <t>Entrada</t>
  </si>
  <si>
    <t>Valor a ser parcelado</t>
  </si>
  <si>
    <t>Custo</t>
  </si>
  <si>
    <t>Taxa de lucro</t>
  </si>
  <si>
    <t>Data</t>
  </si>
  <si>
    <t>Ação</t>
  </si>
  <si>
    <t>Materiais</t>
  </si>
  <si>
    <t>Etapa</t>
  </si>
  <si>
    <t>Quantidade</t>
  </si>
  <si>
    <t>Custo/un.</t>
  </si>
  <si>
    <t>Custo total</t>
  </si>
  <si>
    <t>Custos</t>
  </si>
  <si>
    <t>Custo variável</t>
  </si>
  <si>
    <t>Custo fixo</t>
  </si>
  <si>
    <t>Critérios de Lucro</t>
  </si>
  <si>
    <t>Descrições do projeto</t>
  </si>
  <si>
    <t>Nota</t>
  </si>
  <si>
    <t>Porte do cliente</t>
  </si>
  <si>
    <t>Complexidade do projeto</t>
  </si>
  <si>
    <t>Duração prevista</t>
  </si>
  <si>
    <t>Inovação</t>
  </si>
  <si>
    <t>Contribuição p/ visão e valores da empresa</t>
  </si>
  <si>
    <t>Papel social do projeto</t>
  </si>
  <si>
    <t>Nível de aprendizagem requerido</t>
  </si>
  <si>
    <t>Taxa de lucro calculada</t>
  </si>
  <si>
    <t>Desconto</t>
  </si>
  <si>
    <t>Taxa de negociação</t>
  </si>
  <si>
    <t>Preço calculado</t>
  </si>
  <si>
    <t>Serviço:</t>
  </si>
  <si>
    <t>Custo fixo médio por mês</t>
  </si>
  <si>
    <t>Custo fixo médio por hora</t>
  </si>
  <si>
    <t>Mínimo</t>
  </si>
  <si>
    <t>Teto</t>
  </si>
  <si>
    <t>Está dentro da faixa de preço estipulada?</t>
  </si>
  <si>
    <t>Entrada (10% do preço calculado)</t>
  </si>
  <si>
    <t>Serviço 1</t>
  </si>
  <si>
    <t>Serviço 2</t>
  </si>
  <si>
    <t>Serviço 3</t>
  </si>
  <si>
    <t>Serviço 4</t>
  </si>
  <si>
    <t>Serviço 5</t>
  </si>
  <si>
    <t>Serviço 6</t>
  </si>
  <si>
    <t>Serviço 7</t>
  </si>
  <si>
    <t>Serviço 8</t>
  </si>
  <si>
    <t>Serviço 9</t>
  </si>
  <si>
    <t>Serviço 10</t>
  </si>
  <si>
    <t>Etapa 1</t>
  </si>
  <si>
    <t>Etapa 2</t>
  </si>
  <si>
    <t>Etapa 3</t>
  </si>
  <si>
    <t>Etapa 4</t>
  </si>
  <si>
    <t>Etapa 5</t>
  </si>
  <si>
    <t>Etapa 6</t>
  </si>
  <si>
    <t>Registro de Gestão</t>
  </si>
  <si>
    <t>Material 1</t>
  </si>
  <si>
    <t>Material 2</t>
  </si>
  <si>
    <t>{_x000D_
  "P&amp;D": {_x000D_
    "etapas": {_x000D_
      "Pesquisa": {_x000D_
        "participantes": 1,_x000D_
        "valorHora": 1,_x000D_
        "horas": 1_x000D_
      },_x000D_
      "Relatório Parcial": {_x000D_
        "participantes": 2,_x000D_
        "valorHora": 2,_x000D_
        "horas": 2_x000D_
      },_x000D_
      "Desenvolvimento": {_x000D_
        "participantes": 3,_x000D_
        "valorHora": 3,_x000D_
        "horas": 3_x000D_
      },_x000D_
      "Testagem": {_x000D_
        "participantes": 4,_x000D_
        "valorHora": 4,_x000D_
        "horas": 4_x000D_
      },_x000D_
      "Validação": {_x000D_
        "participantes": 5,_x000D_
        "valorHora": 5,_x000D_
        "horas": 5_x000D_
      },_x000D_
      "Jurídico": {_x000D_
        "participantes": 6,_x000D_
        "valorHora": 6,_x000D_
        "horas": 6_x000D_
      }_x000D_
    },_x000D_
    "materiais": {_x000D_
    },_x000D_
    "notas": {_x000D_
      "porte": "M\u00E9dio",_x000D_
      "complexidade": "M\u00E9dio",_x000D_
      "duracao": "M\u00E9dio",_x000D_
      "inovacao": "M\u00E9dio",_x000D_
      "contribuicao": "M\u00E9dio",_x000D_
      "papelSocial": "M\u00E9dio",_x000D_
      "aprendizagem": "M\u00E9dio"_x000D_
    },_x000D_
    "precoFinal": {_x000D_
      "metodo": "\u00C0 vista",_x000D_
      "desconto": 0,_x000D_
      "taxaNeg": 0_x000D_
    }_x000D_
  },_x000D_
  "Serviço 1": {_x000D_
    "etapas": {_x000D_
      "Pesquisa": {_x000D_
        "participantes": 4,_x000D_
        "valorHora": 25,_x000D_
        "horas": 4_x000D_
      },_x000D_
      "Relatório Parcial": {_x000D_
        "participantes": 3,_x000D_
        "valorHora": 25,_x000D_
        "horas": 4_x000D_
      },_x000D_
      "Desenvolvimento": {_x000D_
        "participantes": 2,_x000D_
        "valorHora": 25,_x000D_
        "horas": 4_x000D_
      },_x000D_
      "Testagem": {_x000D_
        "participantes": 3,_x000D_
        "valorHora": 25,_x000D_
        "horas": 4_x000D_
      },_x000D_
      "Validação": {_x000D_
        "participantes": 4,_x000D_
        "valorHora": 25,_x000D_
        "horas": 4_x000D_
      },_x000D_
      "Jurídico": {_x000D_
        "participantes": 1,_x000D_
        "valorHora": 25,_x000D_
        "horas": 4_x000D_
      }_x000D_
    },_x000D_
    "materiais": {_x000D_
      "Mat0": {_x000D_
        "desc": "Material 1",_x000D_
        "etapa": "Desenvolvimento",_x000D_
        "qtd": 100,_x000D_
        "custoUn": 25_x000D_
      },_x000D_
      "Mat1": {_x000D_
        "desc": "Material 2",_x000D_
        "etapa": "Valida\u00E7\u00E3o",_x000D_
        "qtd": 75,_x000D_
        "custoUn": 30_x000D_
      }_x000D_
    },_x000D_
    "notas": {_x000D_
      "porte": "M\u00E9dio",_x000D_
      "complexidade": "M\u00E9dio",_x000D_
      "duracao": "M\u00E9dio",_x000D_
      "inovacao": "M\u00E9dio",_x000D_
      "contribuicao": "M\u00E9dio",_x000D_
      "papelSocial": "M\u00E9dio",_x000D_
      "aprendizagem": "M\u00E9dio"_x000D_
    },_x000D_
    "precoFinal": {_x000D_
      "metodo": "\u00C0 vista",_x000D_
      "desconto": 0,_x000D_
      "taxaNeg": 0_x000D_
    }_x000D_
  },_x000D_
  "Serviço 2": {_x000D_
    "etapas": {_x000D_
      "Etapa 1": {_x000D_
        "valorHora": 0_x000D_
      },_x000D_
      "Etapa 2": {_x000D_
        "valorHora": 0_x000D_
      },_x000D_
      "Etapa 3": {_x000D_
        "valorHora": 0_x000D_
      },_x000D_
      "Etapa 4": {_x000D_
        "valorHora": 0_x000D_
      },_x000D_
      "Etapa 5": {_x000D_
        "valorHora": 0_x000D_
      }_x000D_
    },_x000D_
    "materiais": {_x000D_
    },_x000D_
    "notas": {_x000D_
      "porte": "M\u00E9dio",_x000D_
      "complexidade": "M\u00E9dio",_x000D_
      "duracao": "M\u00E9dio",_x000D_
      "inovacao": "M\u00E9dio",_x000D_
      "contribuicao": "M\u00E9dio",_x000D_
      "papelSocial": "M\u00E9dio",_x000D_
      "aprendizagem": "M\u00E9dio"_x000D_
    },_x000D_
    "precoFinal": {_x000D_
      "metodo": "\u00C0 vista",_x000D_
      "desconto": 0,_x000D_
      "taxaNeg": 0_x000D_
    }_x000D_
  }_x000D_
}</t>
  </si>
  <si>
    <t>Descrição do orçamento.</t>
  </si>
  <si>
    <t>Não aplicável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</si>
</sst>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(&quot;R$&quot;* #,##0.00_);_(&quot;R$&quot;* \(#,##0.00\);_(&quot;R$&quot;* &quot; - &quot;??_);_(@_)"/>
    <numFmt numFmtId="165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C4E8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rgb="FF1C4E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D8DD"/>
        <bgColor indexed="64"/>
      </patternFill>
    </fill>
    <fill>
      <patternFill patternType="solid">
        <fgColor rgb="FF0091D5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2" fillId="3" borderId="1" xfId="0" applyFont="1" applyFill="1" applyBorder="1" applyAlignment="1">
      <alignment horizontal="center"/>
    </xf>
    <xf numFmtId="44" fontId="0" fillId="4" borderId="1" xfId="1" applyFont="1" applyFill="1" applyBorder="1"/>
    <xf numFmtId="0" fontId="2" fillId="3" borderId="1" xfId="0" applyFont="1" applyFill="1" applyBorder="1"/>
    <xf numFmtId="0" fontId="0" fillId="5" borderId="1" xfId="0" applyFill="1" applyBorder="1"/>
    <xf numFmtId="0" fontId="0" fillId="0" borderId="0" xfId="0" applyFill="1"/>
    <xf numFmtId="0" fontId="4" fillId="3" borderId="0" xfId="0" applyFont="1" applyFill="1"/>
    <xf numFmtId="7" fontId="0" fillId="0" borderId="0" xfId="0" applyNumberFormat="1"/>
    <xf numFmtId="0" fontId="0" fillId="2" borderId="0" xfId="0" applyFill="1" applyBorder="1"/>
    <xf numFmtId="0" fontId="0" fillId="2" borderId="0" xfId="0" applyFill="1" applyBorder="1" applyAlignment="1"/>
    <xf numFmtId="0" fontId="2" fillId="3" borderId="5" xfId="0" applyFont="1" applyFill="1" applyBorder="1" applyAlignment="1"/>
    <xf numFmtId="0" fontId="0" fillId="5" borderId="5" xfId="0" applyFill="1" applyBorder="1" applyAlignment="1"/>
    <xf numFmtId="0" fontId="0" fillId="0" borderId="0" xfId="0" applyAlignment="1">
      <alignment wrapText="1"/>
    </xf>
    <xf numFmtId="164" fontId="3" fillId="2" borderId="5" xfId="0" applyNumberFormat="1" applyFont="1" applyFill="1" applyBorder="1" applyAlignment="1">
      <alignment horizontal="left"/>
    </xf>
    <xf numFmtId="0" fontId="3" fillId="2" borderId="5" xfId="0" applyNumberFormat="1" applyFont="1" applyFill="1" applyBorder="1" applyAlignment="1">
      <alignment horizontal="left"/>
    </xf>
    <xf numFmtId="10" fontId="3" fillId="2" borderId="5" xfId="0" applyNumberFormat="1" applyFont="1" applyFill="1" applyBorder="1" applyAlignment="1">
      <alignment horizontal="left"/>
    </xf>
    <xf numFmtId="0" fontId="3" fillId="2" borderId="0" xfId="0" applyNumberFormat="1" applyFont="1" applyFill="1" applyBorder="1" applyAlignment="1">
      <alignment horizontal="left"/>
    </xf>
    <xf numFmtId="0" fontId="0" fillId="4" borderId="5" xfId="0" applyFill="1" applyBorder="1"/>
    <xf numFmtId="0" fontId="2" fillId="3" borderId="5" xfId="0" applyFont="1" applyFill="1" applyBorder="1"/>
    <xf numFmtId="165" fontId="0" fillId="0" borderId="5" xfId="0" applyNumberFormat="1" applyBorder="1"/>
    <xf numFmtId="165" fontId="0" fillId="4" borderId="1" xfId="0" applyNumberFormat="1" applyFill="1" applyBorder="1"/>
    <xf numFmtId="0" fontId="5" fillId="3" borderId="5" xfId="0" applyNumberFormat="1" applyFont="1" applyFill="1" applyBorder="1" applyAlignment="1">
      <alignment horizontal="left"/>
    </xf>
    <xf numFmtId="0" fontId="5" fillId="2" borderId="0" xfId="0" applyFont="1" applyFill="1" applyBorder="1" applyAlignment="1"/>
    <xf numFmtId="0" fontId="6" fillId="2" borderId="0" xfId="0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left"/>
    </xf>
    <xf numFmtId="0" fontId="3" fillId="6" borderId="5" xfId="0" applyNumberFormat="1" applyFont="1" applyFill="1" applyBorder="1" applyAlignment="1">
      <alignment horizontal="left"/>
    </xf>
    <xf numFmtId="0" fontId="0" fillId="7" borderId="5" xfId="0" applyFill="1" applyBorder="1" applyAlignment="1"/>
    <xf numFmtId="9" fontId="0" fillId="7" borderId="5" xfId="2" applyFont="1" applyFill="1" applyBorder="1" applyAlignment="1"/>
    <xf numFmtId="0" fontId="0" fillId="5" borderId="5" xfId="0" applyFill="1" applyBorder="1"/>
    <xf numFmtId="0" fontId="0" fillId="7" borderId="5" xfId="0" applyFill="1" applyBorder="1"/>
    <xf numFmtId="9" fontId="0" fillId="7" borderId="5" xfId="2" applyFont="1" applyFill="1" applyBorder="1"/>
    <xf numFmtId="0" fontId="3" fillId="2" borderId="5" xfId="0" applyNumberFormat="1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5" fillId="3" borderId="5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4" fontId="0" fillId="7" borderId="5" xfId="0" applyNumberFormat="1" applyFill="1" applyBorder="1" applyAlignment="1"/>
    <xf numFmtId="7" fontId="0" fillId="7" borderId="5" xfId="2" applyNumberFormat="1" applyFont="1" applyFill="1" applyBorder="1" applyAlignment="1"/>
    <xf numFmtId="7" fontId="0" fillId="7" borderId="5" xfId="0" applyNumberFormat="1" applyFill="1" applyBorder="1" applyAlignment="1"/>
  </cellXfs>
  <cellStyles count="3">
    <cellStyle name="Moeda" xfId="1" builtinId="4"/>
    <cellStyle name="Normal" xfId="0" builtinId="0"/>
    <cellStyle name="Porcentagem" xfId="2" builtinId="5"/>
  </cellStyles>
  <dxfs count="6">
    <dxf>
      <font>
        <color rgb="FFFFFFFF"/>
      </font>
      <fill>
        <patternFill>
          <bgColor indexed="10"/>
        </patternFill>
      </fill>
    </dxf>
    <dxf>
      <font>
        <color rgb="FF000000"/>
      </font>
      <fill>
        <patternFill>
          <bgColor indexed="11"/>
        </patternFill>
      </fill>
    </dxf>
    <dxf>
      <font>
        <color rgb="FFFFFFFF"/>
      </font>
      <fill>
        <patternFill>
          <bgColor indexed="10"/>
        </patternFill>
      </fill>
    </dxf>
    <dxf>
      <font>
        <color rgb="FF000000"/>
      </font>
      <fill>
        <patternFill>
          <bgColor indexed="11"/>
        </patternFill>
      </fill>
    </dxf>
    <dxf>
      <font>
        <color rgb="FFFFFFFF"/>
      </font>
      <fill>
        <patternFill>
          <bgColor indexed="10"/>
        </patternFill>
      </fill>
    </dxf>
    <dxf>
      <font>
        <color rgb="FF000000"/>
      </font>
      <fill>
        <patternFill>
          <bgColor indexed="11"/>
        </patternFill>
      </fill>
    </dxf>
  </dxfs>
  <tableStyles count="0" defaultTableStyle="TableStyleMedium2" defaultPivotStyle="PivotStyleLight16"/>
  <colors>
    <mruColors>
      <color rgb="FFF1F1F1"/>
      <color rgb="FF0091D5"/>
      <color rgb="FF1C4E80"/>
      <color rgb="FFA5D8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9525</xdr:rowOff>
    </xdr:from>
    <xdr:to>
      <xdr:col>0</xdr:col>
      <xdr:colOff>1828800</xdr:colOff>
      <xdr:row>3</xdr:row>
      <xdr:rowOff>95250</xdr:rowOff>
    </xdr:to>
    <xdr:sp macro="[0]!irParaCalc" textlink="">
      <xdr:nvSpPr>
        <xdr:cNvPr id="3" name="Retângulo de cantos arredondados 2"/>
        <xdr:cNvSpPr/>
      </xdr:nvSpPr>
      <xdr:spPr>
        <a:xfrm>
          <a:off x="209550" y="200025"/>
          <a:ext cx="1619250" cy="4667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Calculadora</a:t>
          </a:r>
        </a:p>
      </xdr:txBody>
    </xdr:sp>
    <xdr:clientData/>
  </xdr:twoCellAnchor>
  <xdr:twoCellAnchor>
    <xdr:from>
      <xdr:col>0</xdr:col>
      <xdr:colOff>209550</xdr:colOff>
      <xdr:row>4</xdr:row>
      <xdr:rowOff>57150</xdr:rowOff>
    </xdr:from>
    <xdr:to>
      <xdr:col>0</xdr:col>
      <xdr:colOff>1828800</xdr:colOff>
      <xdr:row>6</xdr:row>
      <xdr:rowOff>142875</xdr:rowOff>
    </xdr:to>
    <xdr:sp macro="[0]!irParaOrc" textlink="">
      <xdr:nvSpPr>
        <xdr:cNvPr id="5" name="Retângulo de cantos arredondados 4"/>
        <xdr:cNvSpPr/>
      </xdr:nvSpPr>
      <xdr:spPr>
        <a:xfrm>
          <a:off x="209550" y="819150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  <a:endParaRPr lang="pt-BR" sz="1200" baseline="0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209550</xdr:colOff>
      <xdr:row>10</xdr:row>
      <xdr:rowOff>161925</xdr:rowOff>
    </xdr:from>
    <xdr:to>
      <xdr:col>0</xdr:col>
      <xdr:colOff>1828800</xdr:colOff>
      <xdr:row>13</xdr:row>
      <xdr:rowOff>57150</xdr:rowOff>
    </xdr:to>
    <xdr:sp macro="[0]!irParaDados" textlink="">
      <xdr:nvSpPr>
        <xdr:cNvPr id="6" name="Retângulo de cantos arredondados 5"/>
        <xdr:cNvSpPr/>
      </xdr:nvSpPr>
      <xdr:spPr>
        <a:xfrm>
          <a:off x="209550" y="206692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Dados</a:t>
          </a:r>
        </a:p>
      </xdr:txBody>
    </xdr:sp>
    <xdr:clientData/>
  </xdr:twoCellAnchor>
  <xdr:twoCellAnchor>
    <xdr:from>
      <xdr:col>5</xdr:col>
      <xdr:colOff>285750</xdr:colOff>
      <xdr:row>0</xdr:row>
      <xdr:rowOff>180975</xdr:rowOff>
    </xdr:from>
    <xdr:to>
      <xdr:col>6</xdr:col>
      <xdr:colOff>123825</xdr:colOff>
      <xdr:row>2</xdr:row>
      <xdr:rowOff>0</xdr:rowOff>
    </xdr:to>
    <xdr:sp macro="[0]!limparTudo" textlink="">
      <xdr:nvSpPr>
        <xdr:cNvPr id="8" name="Retângulo de cantos arredondados 7"/>
        <xdr:cNvSpPr/>
      </xdr:nvSpPr>
      <xdr:spPr>
        <a:xfrm>
          <a:off x="5610225" y="180975"/>
          <a:ext cx="971550" cy="2000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Limpar tudo</a:t>
          </a:r>
        </a:p>
      </xdr:txBody>
    </xdr:sp>
    <xdr:clientData/>
  </xdr:twoCellAnchor>
  <xdr:twoCellAnchor>
    <xdr:from>
      <xdr:col>6</xdr:col>
      <xdr:colOff>257175</xdr:colOff>
      <xdr:row>0</xdr:row>
      <xdr:rowOff>180975</xdr:rowOff>
    </xdr:from>
    <xdr:to>
      <xdr:col>8</xdr:col>
      <xdr:colOff>393225</xdr:colOff>
      <xdr:row>2</xdr:row>
      <xdr:rowOff>0</xdr:rowOff>
    </xdr:to>
    <xdr:sp macro="[0]!showForm" textlink="">
      <xdr:nvSpPr>
        <xdr:cNvPr id="10" name="Retângulo de cantos arredondados 9"/>
        <xdr:cNvSpPr/>
      </xdr:nvSpPr>
      <xdr:spPr>
        <a:xfrm>
          <a:off x="6810375" y="180975"/>
          <a:ext cx="1260000" cy="2000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Salvar</a:t>
          </a:r>
          <a:r>
            <a:rPr lang="pt-BR" sz="10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orçamento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0</xdr:col>
      <xdr:colOff>1828800</xdr:colOff>
      <xdr:row>10</xdr:row>
      <xdr:rowOff>0</xdr:rowOff>
    </xdr:to>
    <xdr:sp macro="[0]!irParaCustosFixos" textlink="">
      <xdr:nvSpPr>
        <xdr:cNvPr id="9" name="Retângulo de cantos arredondados 4"/>
        <xdr:cNvSpPr/>
      </xdr:nvSpPr>
      <xdr:spPr>
        <a:xfrm>
          <a:off x="209550" y="143827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Custos</a:t>
          </a:r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 fixos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209550</xdr:colOff>
      <xdr:row>1</xdr:row>
      <xdr:rowOff>9525</xdr:rowOff>
    </xdr:from>
    <xdr:to>
      <xdr:col>0</xdr:col>
      <xdr:colOff>1828800</xdr:colOff>
      <xdr:row>3</xdr:row>
      <xdr:rowOff>95250</xdr:rowOff>
    </xdr:to>
    <xdr:sp macro="[0]!irParaCalc" textlink="">
      <xdr:nvSpPr>
        <xdr:cNvPr id="11" name="Retângulo de cantos arredondados 2"/>
        <xdr:cNvSpPr/>
      </xdr:nvSpPr>
      <xdr:spPr>
        <a:xfrm>
          <a:off x="209550" y="20002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Calculadora</a:t>
          </a:r>
        </a:p>
      </xdr:txBody>
    </xdr:sp>
    <xdr:clientData/>
  </xdr:twoCellAnchor>
  <xdr:twoCellAnchor editAs="absolute">
    <xdr:from>
      <xdr:col>0</xdr:col>
      <xdr:colOff>209550</xdr:colOff>
      <xdr:row>4</xdr:row>
      <xdr:rowOff>57150</xdr:rowOff>
    </xdr:from>
    <xdr:to>
      <xdr:col>0</xdr:col>
      <xdr:colOff>1828800</xdr:colOff>
      <xdr:row>6</xdr:row>
      <xdr:rowOff>142875</xdr:rowOff>
    </xdr:to>
    <xdr:sp macro="[0]!irParaOrc" textlink="">
      <xdr:nvSpPr>
        <xdr:cNvPr id="12" name="Retângulo de cantos arredondados 4"/>
        <xdr:cNvSpPr/>
      </xdr:nvSpPr>
      <xdr:spPr>
        <a:xfrm>
          <a:off x="209550" y="819150"/>
          <a:ext cx="1619250" cy="4667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  <a:endParaRPr lang="pt-BR" sz="1200" baseline="0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10</xdr:row>
      <xdr:rowOff>161925</xdr:rowOff>
    </xdr:from>
    <xdr:to>
      <xdr:col>0</xdr:col>
      <xdr:colOff>1828800</xdr:colOff>
      <xdr:row>13</xdr:row>
      <xdr:rowOff>57150</xdr:rowOff>
    </xdr:to>
    <xdr:sp macro="[0]!irParaDados" textlink="">
      <xdr:nvSpPr>
        <xdr:cNvPr id="13" name="Retângulo de cantos arredondados 5"/>
        <xdr:cNvSpPr/>
      </xdr:nvSpPr>
      <xdr:spPr>
        <a:xfrm>
          <a:off x="209550" y="206692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Dados</a:t>
          </a:r>
        </a:p>
      </xdr:txBody>
    </xdr:sp>
    <xdr:clientData/>
  </xdr:twoCellAnchor>
  <xdr:twoCellAnchor editAs="absolute">
    <xdr:from>
      <xdr:col>0</xdr:col>
      <xdr:colOff>209550</xdr:colOff>
      <xdr:row>7</xdr:row>
      <xdr:rowOff>104775</xdr:rowOff>
    </xdr:from>
    <xdr:to>
      <xdr:col>0</xdr:col>
      <xdr:colOff>1828800</xdr:colOff>
      <xdr:row>10</xdr:row>
      <xdr:rowOff>0</xdr:rowOff>
    </xdr:to>
    <xdr:sp macro="[0]!irParaCustosFixos" textlink="">
      <xdr:nvSpPr>
        <xdr:cNvPr id="14" name="Retângulo de cantos arredondados 4"/>
        <xdr:cNvSpPr/>
      </xdr:nvSpPr>
      <xdr:spPr>
        <a:xfrm>
          <a:off x="209550" y="143827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Custos</a:t>
          </a:r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 fixos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2049" name="3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209550</xdr:colOff>
      <xdr:row>1</xdr:row>
      <xdr:rowOff>0</xdr:rowOff>
    </xdr:from>
    <xdr:to>
      <xdr:col>0</xdr:col>
      <xdr:colOff>1828800</xdr:colOff>
      <xdr:row>3</xdr:row>
      <xdr:rowOff>85725</xdr:rowOff>
    </xdr:to>
    <xdr:sp macro="[0]!irParaCalc" textlink="">
      <xdr:nvSpPr>
        <xdr:cNvPr id="6" name="Retângulo de cantos arredondados 2"/>
        <xdr:cNvSpPr/>
      </xdr:nvSpPr>
      <xdr:spPr>
        <a:xfrm>
          <a:off x="209550" y="190500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Calculadora</a:t>
          </a:r>
        </a:p>
      </xdr:txBody>
    </xdr:sp>
    <xdr:clientData/>
  </xdr:twoCellAnchor>
  <xdr:twoCellAnchor editAs="absolute">
    <xdr:from>
      <xdr:col>0</xdr:col>
      <xdr:colOff>209550</xdr:colOff>
      <xdr:row>4</xdr:row>
      <xdr:rowOff>47625</xdr:rowOff>
    </xdr:from>
    <xdr:to>
      <xdr:col>0</xdr:col>
      <xdr:colOff>1828800</xdr:colOff>
      <xdr:row>6</xdr:row>
      <xdr:rowOff>133350</xdr:rowOff>
    </xdr:to>
    <xdr:sp macro="[0]!irParaOrc" textlink="">
      <xdr:nvSpPr>
        <xdr:cNvPr id="7" name="Retângulo de cantos arredondados 4"/>
        <xdr:cNvSpPr/>
      </xdr:nvSpPr>
      <xdr:spPr>
        <a:xfrm>
          <a:off x="209550" y="80962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  <a:endParaRPr lang="pt-BR" sz="1200" baseline="0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10</xdr:row>
      <xdr:rowOff>152400</xdr:rowOff>
    </xdr:from>
    <xdr:to>
      <xdr:col>0</xdr:col>
      <xdr:colOff>1828800</xdr:colOff>
      <xdr:row>13</xdr:row>
      <xdr:rowOff>47625</xdr:rowOff>
    </xdr:to>
    <xdr:sp macro="[0]!irParaDados" textlink="">
      <xdr:nvSpPr>
        <xdr:cNvPr id="8" name="Retângulo de cantos arredondados 5"/>
        <xdr:cNvSpPr/>
      </xdr:nvSpPr>
      <xdr:spPr>
        <a:xfrm>
          <a:off x="209550" y="2057400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Dados</a:t>
          </a:r>
        </a:p>
      </xdr:txBody>
    </xdr:sp>
    <xdr:clientData/>
  </xdr:twoCellAnchor>
  <xdr:twoCellAnchor editAs="absolute">
    <xdr:from>
      <xdr:col>0</xdr:col>
      <xdr:colOff>209550</xdr:colOff>
      <xdr:row>7</xdr:row>
      <xdr:rowOff>95250</xdr:rowOff>
    </xdr:from>
    <xdr:to>
      <xdr:col>0</xdr:col>
      <xdr:colOff>1828800</xdr:colOff>
      <xdr:row>9</xdr:row>
      <xdr:rowOff>180975</xdr:rowOff>
    </xdr:to>
    <xdr:sp macro="[0]!irParaCustosFixos" textlink="">
      <xdr:nvSpPr>
        <xdr:cNvPr id="9" name="Retângulo de cantos arredondados 4"/>
        <xdr:cNvSpPr/>
      </xdr:nvSpPr>
      <xdr:spPr>
        <a:xfrm>
          <a:off x="209550" y="1428750"/>
          <a:ext cx="1619250" cy="4667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Custos</a:t>
          </a:r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 fixos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209550</xdr:colOff>
      <xdr:row>1</xdr:row>
      <xdr:rowOff>19050</xdr:rowOff>
    </xdr:from>
    <xdr:to>
      <xdr:col>0</xdr:col>
      <xdr:colOff>1828800</xdr:colOff>
      <xdr:row>3</xdr:row>
      <xdr:rowOff>104775</xdr:rowOff>
    </xdr:to>
    <xdr:sp macro="[0]!irParaCalc" textlink="">
      <xdr:nvSpPr>
        <xdr:cNvPr id="10" name="Retângulo de cantos arredondados 2"/>
        <xdr:cNvSpPr/>
      </xdr:nvSpPr>
      <xdr:spPr>
        <a:xfrm>
          <a:off x="209550" y="209550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Calculadora</a:t>
          </a:r>
        </a:p>
      </xdr:txBody>
    </xdr:sp>
    <xdr:clientData/>
  </xdr:twoCellAnchor>
  <xdr:twoCellAnchor editAs="absolute">
    <xdr:from>
      <xdr:col>0</xdr:col>
      <xdr:colOff>209550</xdr:colOff>
      <xdr:row>4</xdr:row>
      <xdr:rowOff>66675</xdr:rowOff>
    </xdr:from>
    <xdr:to>
      <xdr:col>0</xdr:col>
      <xdr:colOff>1828800</xdr:colOff>
      <xdr:row>6</xdr:row>
      <xdr:rowOff>152400</xdr:rowOff>
    </xdr:to>
    <xdr:sp macro="[0]!irParaCustosFixos" textlink="">
      <xdr:nvSpPr>
        <xdr:cNvPr id="11" name="Retângulo de cantos arredondados 4"/>
        <xdr:cNvSpPr/>
      </xdr:nvSpPr>
      <xdr:spPr>
        <a:xfrm>
          <a:off x="209550" y="828675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  <a:endParaRPr lang="pt-BR" sz="1200" baseline="0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10</xdr:row>
      <xdr:rowOff>171450</xdr:rowOff>
    </xdr:from>
    <xdr:to>
      <xdr:col>0</xdr:col>
      <xdr:colOff>1828800</xdr:colOff>
      <xdr:row>13</xdr:row>
      <xdr:rowOff>66675</xdr:rowOff>
    </xdr:to>
    <xdr:sp macro="[0]!irParaDados" textlink="">
      <xdr:nvSpPr>
        <xdr:cNvPr id="12" name="Retângulo de cantos arredondados 5"/>
        <xdr:cNvSpPr/>
      </xdr:nvSpPr>
      <xdr:spPr>
        <a:xfrm>
          <a:off x="209550" y="2076450"/>
          <a:ext cx="1619250" cy="466725"/>
        </a:xfrm>
        <a:prstGeom prst="roundRect">
          <a:avLst/>
        </a:prstGeom>
        <a:solidFill>
          <a:srgbClr val="F1F1F1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Dados</a:t>
          </a:r>
        </a:p>
      </xdr:txBody>
    </xdr:sp>
    <xdr:clientData/>
  </xdr:twoCellAnchor>
  <xdr:twoCellAnchor editAs="absolute">
    <xdr:from>
      <xdr:col>0</xdr:col>
      <xdr:colOff>209550</xdr:colOff>
      <xdr:row>7</xdr:row>
      <xdr:rowOff>114300</xdr:rowOff>
    </xdr:from>
    <xdr:to>
      <xdr:col>0</xdr:col>
      <xdr:colOff>1828800</xdr:colOff>
      <xdr:row>10</xdr:row>
      <xdr:rowOff>9525</xdr:rowOff>
    </xdr:to>
    <xdr:sp macro="[0]!irParaCustosFixos" textlink="">
      <xdr:nvSpPr>
        <xdr:cNvPr id="13" name="Retângulo de cantos arredondados 4"/>
        <xdr:cNvSpPr/>
      </xdr:nvSpPr>
      <xdr:spPr>
        <a:xfrm>
          <a:off x="209550" y="1447800"/>
          <a:ext cx="1619250" cy="466725"/>
        </a:xfrm>
        <a:prstGeom prst="roundRect">
          <a:avLst/>
        </a:prstGeom>
        <a:solidFill>
          <a:srgbClr val="A5D8DD"/>
        </a:solidFill>
        <a:ln>
          <a:solidFill>
            <a:srgbClr val="0091D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tx1"/>
              </a:solidFill>
              <a:latin typeface="Arial Black" panose="020B0A04020102020204" pitchFamily="34" charset="0"/>
            </a:rPr>
            <a:t>Custos</a:t>
          </a:r>
          <a:r>
            <a:rPr lang="pt-BR" sz="1200" baseline="0">
              <a:solidFill>
                <a:schemeClr val="tx1"/>
              </a:solidFill>
              <a:latin typeface="Arial Black" panose="020B0A04020102020204" pitchFamily="34" charset="0"/>
            </a:rPr>
            <a:t> fixos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50"/>
  <sheetViews>
    <sheetView tabSelected="1" workbookViewId="0">
      <pane xSplit="1" topLeftCell="B1" activePane="topRight" state="frozen"/>
      <selection pane="topRight" activeCell="D2" sqref="D2:E2"/>
    </sheetView>
  </sheetViews>
  <sheetFormatPr defaultRowHeight="15" x14ac:dyDescent="0.25"/>
  <cols>
    <col min="1" max="1" width="30.7109375" customWidth="1"/>
    <col min="2" max="2" width="2.7109375" customWidth="1"/>
    <col min="3" max="3" width="16.85546875" bestFit="1" customWidth="1"/>
    <col min="4" max="4" width="18.28515625" bestFit="1" customWidth="1"/>
    <col min="5" max="5" width="12.7109375" bestFit="1" customWidth="1"/>
    <col min="6" max="6" width="17" bestFit="1" customWidth="1"/>
    <col min="7" max="7" width="14.140625" bestFit="1" customWidth="1"/>
    <col min="8" max="8" width="2.7109375" customWidth="1"/>
    <col min="9" max="9" width="39.85546875" bestFit="1" customWidth="1"/>
    <col min="10" max="10" width="14.42578125" bestFit="1" customWidth="1"/>
  </cols>
  <sheetData>
    <row r="1" spans="1:26" x14ac:dyDescent="0.25">
      <c r="A1" s="9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9" t="s">
        <v>78</v>
      </c>
      <c r="B2" s="1"/>
      <c r="C2" s="26" t="s">
        <v>71</v>
      </c>
      <c r="D2" s="35" t="s">
        <v>78</v>
      </c>
      <c r="E2" s="35"/>
      <c r="F2" s="25"/>
      <c r="G2" s="25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2"/>
      <c r="B3" s="1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2"/>
      <c r="B4" s="1"/>
      <c r="C4" s="36" t="s">
        <v>9</v>
      </c>
      <c r="D4" s="36"/>
      <c r="E4" s="36"/>
      <c r="F4" s="36"/>
      <c r="G4" s="36"/>
      <c r="H4" s="19"/>
      <c r="I4" s="36" t="s">
        <v>54</v>
      </c>
      <c r="J4" s="37"/>
      <c r="K4" s="19"/>
      <c r="L4" s="19"/>
      <c r="M4" s="19"/>
      <c r="N4" s="19"/>
      <c r="O4" s="19"/>
      <c r="P4" s="1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2"/>
      <c r="B5" s="1"/>
      <c r="C5" s="24" t="s">
        <v>40</v>
      </c>
      <c r="D5" s="24" t="s">
        <v>3</v>
      </c>
      <c r="E5" s="24" t="s">
        <v>1</v>
      </c>
      <c r="F5" s="24" t="s">
        <v>41</v>
      </c>
      <c r="G5" s="24" t="s">
        <v>42</v>
      </c>
      <c r="H5" s="19"/>
      <c r="I5" s="28" t="s">
        <v>55</v>
      </c>
      <c r="J5" s="16">
        <f>SUM(G6:G11)+SUM(G15:G50)</f>
        <v>6450</v>
      </c>
      <c r="K5" s="19"/>
      <c r="L5" s="19"/>
      <c r="M5" s="19"/>
      <c r="N5" s="19"/>
      <c r="O5" s="19"/>
      <c r="P5" s="1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2"/>
      <c r="B6" s="1"/>
      <c r="C6" s="27" t="s">
        <v>0</v>
      </c>
      <c r="D6" s="17">
        <v>4</v>
      </c>
      <c r="E6" s="16">
        <v>25</v>
      </c>
      <c r="F6" s="17">
        <v>4</v>
      </c>
      <c r="G6" s="16">
        <f t="shared" ref="G6:G11" si="0">D6*E6*F6</f>
        <v>400</v>
      </c>
      <c r="H6" s="19"/>
      <c r="I6" s="28" t="s">
        <v>56</v>
      </c>
      <c r="J6" s="16">
        <f>SUM(F6:F11)*'Custos Fixos'!J6</f>
        <v>40.833166666666671</v>
      </c>
      <c r="K6" s="19"/>
      <c r="L6" s="19"/>
      <c r="M6" s="19"/>
      <c r="N6" s="19"/>
      <c r="O6" s="19"/>
      <c r="P6" s="1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/>
      <c r="B7" s="1"/>
      <c r="C7" s="27" t="s">
        <v>4</v>
      </c>
      <c r="D7" s="17">
        <v>3</v>
      </c>
      <c r="E7" s="16">
        <v>25</v>
      </c>
      <c r="F7" s="17">
        <v>4</v>
      </c>
      <c r="G7" s="16">
        <f t="shared" si="0"/>
        <v>300</v>
      </c>
      <c r="H7" s="19"/>
      <c r="I7" s="28" t="s">
        <v>53</v>
      </c>
      <c r="J7" s="16">
        <f>SUM(J5:J6)</f>
        <v>6490.8331666666663</v>
      </c>
      <c r="K7" s="19"/>
      <c r="L7" s="19"/>
      <c r="M7" s="19"/>
      <c r="N7" s="19"/>
      <c r="O7" s="19"/>
      <c r="P7" s="19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/>
      <c r="B8" s="1"/>
      <c r="C8" s="27" t="s">
        <v>8</v>
      </c>
      <c r="D8" s="17">
        <v>2</v>
      </c>
      <c r="E8" s="16">
        <v>25</v>
      </c>
      <c r="F8" s="17">
        <v>4</v>
      </c>
      <c r="G8" s="16">
        <f t="shared" si="0"/>
        <v>200</v>
      </c>
      <c r="H8" s="19"/>
      <c r="I8" s="19"/>
      <c r="J8" s="19"/>
      <c r="K8" s="19"/>
      <c r="L8" s="19"/>
      <c r="M8" s="19"/>
      <c r="N8" s="19"/>
      <c r="O8" s="19"/>
      <c r="P8" s="19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/>
      <c r="B9" s="1"/>
      <c r="C9" s="27" t="s">
        <v>5</v>
      </c>
      <c r="D9" s="17">
        <v>3</v>
      </c>
      <c r="E9" s="16">
        <v>25</v>
      </c>
      <c r="F9" s="17">
        <v>4</v>
      </c>
      <c r="G9" s="16">
        <f t="shared" si="0"/>
        <v>300</v>
      </c>
      <c r="H9" s="19"/>
      <c r="I9" s="36" t="s">
        <v>57</v>
      </c>
      <c r="J9" s="36"/>
      <c r="K9" s="19"/>
      <c r="L9" s="19"/>
      <c r="M9" s="19"/>
      <c r="N9" s="19"/>
      <c r="O9" s="19"/>
      <c r="P9" s="19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/>
      <c r="B10" s="1"/>
      <c r="C10" s="27" t="s">
        <v>6</v>
      </c>
      <c r="D10" s="17">
        <v>4</v>
      </c>
      <c r="E10" s="16">
        <v>25</v>
      </c>
      <c r="F10" s="17">
        <v>4</v>
      </c>
      <c r="G10" s="16">
        <f t="shared" si="0"/>
        <v>400</v>
      </c>
      <c r="H10" s="19"/>
      <c r="I10" s="24" t="s">
        <v>58</v>
      </c>
      <c r="J10" s="24" t="s">
        <v>59</v>
      </c>
      <c r="K10" s="19"/>
      <c r="L10" s="19"/>
      <c r="M10" s="19"/>
      <c r="N10" s="19"/>
      <c r="O10" s="19"/>
      <c r="P10" s="19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/>
      <c r="B11" s="1"/>
      <c r="C11" s="27" t="s">
        <v>7</v>
      </c>
      <c r="D11" s="17">
        <v>1</v>
      </c>
      <c r="E11" s="16">
        <v>25</v>
      </c>
      <c r="F11" s="17">
        <v>4</v>
      </c>
      <c r="G11" s="16">
        <f t="shared" si="0"/>
        <v>100</v>
      </c>
      <c r="H11" s="19"/>
      <c r="I11" s="27" t="s">
        <v>60</v>
      </c>
      <c r="J11" s="34" t="s">
        <v>35</v>
      </c>
      <c r="K11" s="19"/>
      <c r="L11" s="19"/>
      <c r="M11" s="19"/>
      <c r="N11" s="19"/>
      <c r="O11" s="19"/>
      <c r="P11" s="19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/>
      <c r="B12" s="1"/>
      <c r="C12" s="19"/>
      <c r="D12" s="19"/>
      <c r="E12" s="19"/>
      <c r="F12" s="19"/>
      <c r="G12" s="19"/>
      <c r="H12" s="19"/>
      <c r="I12" s="27" t="s">
        <v>61</v>
      </c>
      <c r="J12" s="34" t="s">
        <v>35</v>
      </c>
      <c r="K12" s="19"/>
      <c r="L12" s="19"/>
      <c r="M12" s="19"/>
      <c r="N12" s="19"/>
      <c r="O12" s="19"/>
      <c r="P12" s="19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/>
      <c r="B13" s="1"/>
      <c r="C13" s="36" t="s">
        <v>49</v>
      </c>
      <c r="D13" s="36"/>
      <c r="E13" s="36"/>
      <c r="F13" s="36"/>
      <c r="G13" s="36"/>
      <c r="H13" s="19"/>
      <c r="I13" s="27" t="s">
        <v>62</v>
      </c>
      <c r="J13" s="34" t="s">
        <v>35</v>
      </c>
      <c r="K13" s="19"/>
      <c r="L13" s="19"/>
      <c r="M13" s="19"/>
      <c r="N13" s="19"/>
      <c r="O13" s="19"/>
      <c r="P13" s="19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/>
      <c r="B14" s="1"/>
      <c r="C14" s="24" t="s">
        <v>2</v>
      </c>
      <c r="D14" s="24" t="s">
        <v>50</v>
      </c>
      <c r="E14" s="24" t="s">
        <v>51</v>
      </c>
      <c r="F14" s="24" t="s">
        <v>52</v>
      </c>
      <c r="G14" s="24" t="s">
        <v>53</v>
      </c>
      <c r="H14" s="19"/>
      <c r="I14" s="27" t="s">
        <v>63</v>
      </c>
      <c r="J14" s="34" t="s">
        <v>35</v>
      </c>
      <c r="K14" s="19"/>
      <c r="L14" s="19"/>
      <c r="M14" s="19"/>
      <c r="N14" s="19"/>
      <c r="O14" s="19"/>
      <c r="P14" s="19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/>
      <c r="B15" s="1"/>
      <c r="C15" s="27" t="s">
        <v>95</v>
      </c>
      <c r="D15" s="17" t="s">
        <v>8</v>
      </c>
      <c r="E15" s="17">
        <v>100</v>
      </c>
      <c r="F15" s="16">
        <v>25</v>
      </c>
      <c r="G15" s="16">
        <f t="shared" ref="G15:G50" si="1">F15*E15</f>
        <v>2500</v>
      </c>
      <c r="H15" s="19"/>
      <c r="I15" s="27" t="s">
        <v>64</v>
      </c>
      <c r="J15" s="34" t="s">
        <v>35</v>
      </c>
      <c r="K15" s="19"/>
      <c r="L15" s="19"/>
      <c r="M15" s="19"/>
      <c r="N15" s="19"/>
      <c r="O15" s="19"/>
      <c r="P15" s="19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2"/>
      <c r="B16" s="1"/>
      <c r="C16" s="27" t="s">
        <v>96</v>
      </c>
      <c r="D16" s="17" t="s">
        <v>6</v>
      </c>
      <c r="E16" s="17">
        <v>75</v>
      </c>
      <c r="F16" s="16">
        <v>30</v>
      </c>
      <c r="G16" s="16">
        <f t="shared" si="1"/>
        <v>2250</v>
      </c>
      <c r="H16" s="19"/>
      <c r="I16" s="27" t="s">
        <v>65</v>
      </c>
      <c r="J16" s="34" t="s">
        <v>35</v>
      </c>
      <c r="K16" s="19"/>
      <c r="L16" s="19"/>
      <c r="M16" s="19"/>
      <c r="N16" s="19"/>
      <c r="O16" s="19"/>
      <c r="P16" s="19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2"/>
      <c r="B17" s="1"/>
      <c r="C17" s="27"/>
      <c r="D17" s="17"/>
      <c r="E17" s="17"/>
      <c r="F17" s="16"/>
      <c r="G17" s="16">
        <f t="shared" si="1"/>
        <v>0</v>
      </c>
      <c r="H17" s="19"/>
      <c r="I17" s="27" t="s">
        <v>66</v>
      </c>
      <c r="J17" s="34" t="s">
        <v>35</v>
      </c>
      <c r="K17" s="19"/>
      <c r="L17" s="19"/>
      <c r="M17" s="19"/>
      <c r="N17" s="19"/>
      <c r="O17" s="19"/>
      <c r="P17" s="19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2"/>
      <c r="B18" s="1"/>
      <c r="C18" s="27"/>
      <c r="D18" s="17"/>
      <c r="E18" s="17"/>
      <c r="F18" s="16"/>
      <c r="G18" s="16">
        <f t="shared" si="1"/>
        <v>0</v>
      </c>
      <c r="H18" s="19"/>
      <c r="I18" s="28" t="s">
        <v>67</v>
      </c>
      <c r="J18" s="18">
        <f>IFERROR((5+VLOOKUP($J$11,Validações!$A$2:$B$4,2,FALSE)*3.5+VLOOKUP($J$12,Validações!$A$2:$B$4,2,FALSE)*5.5+VLOOKUP($J$13,Validações!$A$2:$B$4,2,FALSE)*4.5+VLOOKUP($J$14,Validações!$A$2:$B$4,2,FALSE)*5.5+VLOOKUP($J$15,Validações!$A$2:$B$4,2,FALSE)*1.5+VLOOKUP($J$16,Validações!$A$2:$B$4,2,FALSE)+VLOOKUP($J$17,Validações!$A$2:$B$4,2,FALSE))/100, "Atribua as notas")</f>
        <v>0.27500000000000002</v>
      </c>
      <c r="K18" s="19"/>
      <c r="L18" s="19"/>
      <c r="M18" s="19"/>
      <c r="N18" s="19"/>
      <c r="O18" s="19"/>
      <c r="P18" s="19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2"/>
      <c r="B19" s="1"/>
      <c r="C19" s="27"/>
      <c r="D19" s="17"/>
      <c r="E19" s="17"/>
      <c r="F19" s="16"/>
      <c r="G19" s="16">
        <f t="shared" si="1"/>
        <v>0</v>
      </c>
      <c r="H19" s="19"/>
      <c r="I19" s="19"/>
      <c r="J19" s="19"/>
      <c r="K19" s="19"/>
      <c r="L19" s="19"/>
      <c r="M19" s="19"/>
      <c r="N19" s="19"/>
      <c r="O19" s="19"/>
      <c r="P19" s="19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2"/>
      <c r="B20" s="1"/>
      <c r="C20" s="27"/>
      <c r="D20" s="17"/>
      <c r="E20" s="17"/>
      <c r="F20" s="16"/>
      <c r="G20" s="16">
        <f t="shared" si="1"/>
        <v>0</v>
      </c>
      <c r="H20" s="19"/>
      <c r="I20" s="36" t="s">
        <v>36</v>
      </c>
      <c r="J20" s="36"/>
      <c r="K20" s="19"/>
      <c r="L20" s="19"/>
      <c r="M20" s="19"/>
      <c r="N20" s="19"/>
      <c r="O20" s="19"/>
      <c r="P20" s="19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2"/>
      <c r="B21" s="1"/>
      <c r="C21" s="27"/>
      <c r="D21" s="17"/>
      <c r="E21" s="17"/>
      <c r="F21" s="16"/>
      <c r="G21" s="16">
        <f t="shared" si="1"/>
        <v>0</v>
      </c>
      <c r="H21" s="19"/>
      <c r="I21" s="27" t="s">
        <v>37</v>
      </c>
      <c r="J21" s="34" t="s">
        <v>39</v>
      </c>
      <c r="K21" s="19"/>
      <c r="L21" s="19"/>
      <c r="M21" s="19"/>
      <c r="N21" s="19"/>
      <c r="O21" s="19"/>
      <c r="P21" s="19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2"/>
      <c r="B22" s="1"/>
      <c r="C22" s="27"/>
      <c r="D22" s="17"/>
      <c r="E22" s="17"/>
      <c r="F22" s="16"/>
      <c r="G22" s="16">
        <f t="shared" si="1"/>
        <v>0</v>
      </c>
      <c r="H22" s="19"/>
      <c r="I22" s="27" t="s">
        <v>77</v>
      </c>
      <c r="J22" s="16" t="str">
        <f>IF(J21="Parcelado", J26*0.1, "Não aplicável")</f>
        <v>Não aplicável</v>
      </c>
      <c r="K22" s="19"/>
      <c r="L22" s="19"/>
      <c r="M22" s="19"/>
      <c r="N22" s="19"/>
      <c r="O22" s="19"/>
      <c r="P22" s="19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2"/>
      <c r="B23" s="1"/>
      <c r="C23" s="27"/>
      <c r="D23" s="17"/>
      <c r="E23" s="17"/>
      <c r="F23" s="16"/>
      <c r="G23" s="16">
        <f t="shared" si="1"/>
        <v>0</v>
      </c>
      <c r="H23" s="19"/>
      <c r="I23" s="27" t="s">
        <v>44</v>
      </c>
      <c r="J23" s="16" t="str">
        <f>IF(J21="Parcelado", J26*0.9, "Não aplicável")</f>
        <v>Não aplicável</v>
      </c>
      <c r="K23" s="19"/>
      <c r="L23" s="19"/>
      <c r="M23" s="19"/>
      <c r="N23" s="19"/>
      <c r="O23" s="19"/>
      <c r="P23" s="19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2"/>
      <c r="B24" s="1"/>
      <c r="C24" s="27"/>
      <c r="D24" s="17"/>
      <c r="E24" s="17"/>
      <c r="F24" s="16"/>
      <c r="G24" s="16">
        <f t="shared" si="1"/>
        <v>0</v>
      </c>
      <c r="H24" s="19"/>
      <c r="I24" s="27" t="s">
        <v>68</v>
      </c>
      <c r="J24" s="18">
        <v>0</v>
      </c>
      <c r="K24" s="19"/>
      <c r="L24" s="19"/>
      <c r="M24" s="19"/>
      <c r="N24" s="19"/>
      <c r="O24" s="19"/>
      <c r="P24" s="19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2"/>
      <c r="B25" s="1"/>
      <c r="C25" s="27"/>
      <c r="D25" s="17"/>
      <c r="E25" s="17"/>
      <c r="F25" s="16"/>
      <c r="G25" s="16">
        <f t="shared" si="1"/>
        <v>0</v>
      </c>
      <c r="H25" s="19"/>
      <c r="I25" s="27" t="s">
        <v>69</v>
      </c>
      <c r="J25" s="18">
        <v>0</v>
      </c>
      <c r="K25" s="19"/>
      <c r="L25" s="19"/>
      <c r="M25" s="19"/>
      <c r="N25" s="19"/>
      <c r="O25" s="19"/>
      <c r="P25" s="19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2"/>
      <c r="B26" s="1"/>
      <c r="C26" s="27"/>
      <c r="D26" s="17"/>
      <c r="E26" s="17"/>
      <c r="F26" s="16"/>
      <c r="G26" s="16">
        <f t="shared" si="1"/>
        <v>0</v>
      </c>
      <c r="H26" s="19"/>
      <c r="I26" s="28" t="s">
        <v>70</v>
      </c>
      <c r="J26" s="16">
        <f>J7*(1+J18)*(1-J24)*(1+J25)</f>
        <v>8275.812287499999</v>
      </c>
      <c r="K26" s="19"/>
      <c r="L26" s="19"/>
      <c r="M26" s="19"/>
      <c r="N26" s="19"/>
      <c r="O26" s="19"/>
      <c r="P26" s="19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2"/>
      <c r="B27" s="1"/>
      <c r="C27" s="27"/>
      <c r="D27" s="17"/>
      <c r="E27" s="17"/>
      <c r="F27" s="16"/>
      <c r="G27" s="16">
        <f t="shared" si="1"/>
        <v>0</v>
      </c>
      <c r="H27" s="19"/>
      <c r="I27" s="28" t="s">
        <v>76</v>
      </c>
      <c r="J27" s="34" t="str">
        <f>IF(AND(J26&gt;VLOOKUP(D2,Dados!C3:E50,2,FALSE),J26&lt;VLOOKUP(D2,Dados!C3:E50,3,FALSE)),"Sim","Não")</f>
        <v>Sim</v>
      </c>
      <c r="K27" s="19"/>
      <c r="L27" s="19"/>
      <c r="M27" s="19"/>
      <c r="N27" s="19"/>
      <c r="O27" s="19"/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1"/>
      <c r="C28" s="27"/>
      <c r="D28" s="17"/>
      <c r="E28" s="17"/>
      <c r="F28" s="16"/>
      <c r="G28" s="16">
        <f t="shared" si="1"/>
        <v>0</v>
      </c>
      <c r="H28" s="19"/>
      <c r="I28" s="19"/>
      <c r="J28" s="19"/>
      <c r="K28" s="19"/>
      <c r="L28" s="19"/>
      <c r="M28" s="19"/>
      <c r="N28" s="19"/>
      <c r="O28" s="19"/>
      <c r="P28" s="19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1"/>
      <c r="C29" s="27"/>
      <c r="D29" s="17"/>
      <c r="E29" s="17"/>
      <c r="F29" s="16"/>
      <c r="G29" s="16">
        <f t="shared" si="1"/>
        <v>0</v>
      </c>
      <c r="H29" s="19"/>
      <c r="I29" s="19"/>
      <c r="J29" s="19"/>
      <c r="K29" s="19"/>
      <c r="L29" s="19"/>
      <c r="M29" s="19"/>
      <c r="N29" s="19"/>
      <c r="O29" s="19"/>
      <c r="P29" s="19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1"/>
      <c r="C30" s="27"/>
      <c r="D30" s="17"/>
      <c r="E30" s="17"/>
      <c r="F30" s="16"/>
      <c r="G30" s="16">
        <f t="shared" si="1"/>
        <v>0</v>
      </c>
      <c r="H30" s="19"/>
      <c r="I30" s="19"/>
      <c r="J30" s="19"/>
      <c r="K30" s="19"/>
      <c r="L30" s="19"/>
      <c r="M30" s="19"/>
      <c r="N30" s="19"/>
      <c r="O30" s="19"/>
      <c r="P30" s="19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1"/>
      <c r="C31" s="27"/>
      <c r="D31" s="17"/>
      <c r="E31" s="17"/>
      <c r="F31" s="16"/>
      <c r="G31" s="16">
        <f t="shared" si="1"/>
        <v>0</v>
      </c>
      <c r="H31" s="19"/>
      <c r="I31" s="19"/>
      <c r="J31" s="19"/>
      <c r="K31" s="19"/>
      <c r="L31" s="19"/>
      <c r="M31" s="19"/>
      <c r="N31" s="19"/>
      <c r="O31" s="19"/>
      <c r="P31" s="19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1"/>
      <c r="C32" s="27"/>
      <c r="D32" s="17"/>
      <c r="E32" s="17"/>
      <c r="F32" s="16"/>
      <c r="G32" s="16">
        <f t="shared" si="1"/>
        <v>0</v>
      </c>
      <c r="H32" s="19"/>
      <c r="I32" s="19"/>
      <c r="J32" s="19"/>
      <c r="K32" s="19"/>
      <c r="L32" s="19"/>
      <c r="M32" s="19"/>
      <c r="N32" s="19"/>
      <c r="O32" s="19"/>
      <c r="P32" s="19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1"/>
      <c r="C33" s="27"/>
      <c r="D33" s="17"/>
      <c r="E33" s="17"/>
      <c r="F33" s="16"/>
      <c r="G33" s="16">
        <f t="shared" si="1"/>
        <v>0</v>
      </c>
      <c r="H33" s="19"/>
      <c r="I33" s="19"/>
      <c r="J33" s="19"/>
      <c r="K33" s="19"/>
      <c r="L33" s="19"/>
      <c r="M33" s="19"/>
      <c r="N33" s="19"/>
      <c r="O33" s="19"/>
      <c r="P33" s="19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1"/>
      <c r="C34" s="27"/>
      <c r="D34" s="17"/>
      <c r="E34" s="17"/>
      <c r="F34" s="16"/>
      <c r="G34" s="16">
        <f t="shared" si="1"/>
        <v>0</v>
      </c>
      <c r="H34" s="19"/>
      <c r="I34" s="19"/>
      <c r="J34" s="19"/>
      <c r="K34" s="19"/>
      <c r="L34" s="19"/>
      <c r="M34" s="19"/>
      <c r="N34" s="19"/>
      <c r="O34" s="19"/>
      <c r="P34" s="19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1"/>
      <c r="C35" s="27"/>
      <c r="D35" s="17"/>
      <c r="E35" s="17"/>
      <c r="F35" s="16"/>
      <c r="G35" s="16">
        <f t="shared" si="1"/>
        <v>0</v>
      </c>
      <c r="H35" s="19"/>
      <c r="I35" s="19"/>
      <c r="J35" s="19"/>
      <c r="K35" s="19"/>
      <c r="L35" s="19"/>
      <c r="M35" s="19"/>
      <c r="N35" s="19"/>
      <c r="O35" s="19"/>
      <c r="P35" s="19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1"/>
      <c r="C36" s="27"/>
      <c r="D36" s="17"/>
      <c r="E36" s="17"/>
      <c r="F36" s="16"/>
      <c r="G36" s="16">
        <f t="shared" si="1"/>
        <v>0</v>
      </c>
      <c r="H36" s="19"/>
      <c r="I36" s="19"/>
      <c r="J36" s="19"/>
      <c r="K36" s="19"/>
      <c r="L36" s="19"/>
      <c r="M36" s="19"/>
      <c r="N36" s="19"/>
      <c r="O36" s="19"/>
      <c r="P36" s="19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1"/>
      <c r="C37" s="27"/>
      <c r="D37" s="17"/>
      <c r="E37" s="17"/>
      <c r="F37" s="16"/>
      <c r="G37" s="16">
        <f t="shared" si="1"/>
        <v>0</v>
      </c>
      <c r="H37" s="19"/>
      <c r="I37" s="19"/>
      <c r="J37" s="19"/>
      <c r="K37" s="19"/>
      <c r="L37" s="19"/>
      <c r="M37" s="19"/>
      <c r="N37" s="19"/>
      <c r="O37" s="19"/>
      <c r="P37" s="19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2"/>
      <c r="B38" s="1"/>
      <c r="C38" s="27"/>
      <c r="D38" s="17"/>
      <c r="E38" s="17"/>
      <c r="F38" s="16"/>
      <c r="G38" s="16">
        <f t="shared" si="1"/>
        <v>0</v>
      </c>
      <c r="H38" s="19"/>
      <c r="I38" s="19"/>
      <c r="J38" s="19"/>
      <c r="K38" s="19"/>
      <c r="L38" s="19"/>
      <c r="M38" s="19"/>
      <c r="N38" s="19"/>
      <c r="O38" s="19"/>
      <c r="P38" s="19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2"/>
      <c r="B39" s="1"/>
      <c r="C39" s="27"/>
      <c r="D39" s="17"/>
      <c r="E39" s="17"/>
      <c r="F39" s="16"/>
      <c r="G39" s="16">
        <f t="shared" si="1"/>
        <v>0</v>
      </c>
      <c r="H39" s="19"/>
      <c r="I39" s="19"/>
      <c r="J39" s="19"/>
      <c r="K39" s="19"/>
      <c r="L39" s="19"/>
      <c r="M39" s="19"/>
      <c r="N39" s="19"/>
      <c r="O39" s="19"/>
      <c r="P39" s="19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2"/>
      <c r="B40" s="1"/>
      <c r="C40" s="27"/>
      <c r="D40" s="17"/>
      <c r="E40" s="17"/>
      <c r="F40" s="16"/>
      <c r="G40" s="16">
        <f t="shared" si="1"/>
        <v>0</v>
      </c>
      <c r="H40" s="19"/>
      <c r="I40" s="19"/>
      <c r="J40" s="19"/>
      <c r="K40" s="19"/>
      <c r="L40" s="19"/>
      <c r="M40" s="19"/>
      <c r="N40" s="19"/>
      <c r="O40" s="19"/>
      <c r="P40" s="19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2"/>
      <c r="B41" s="1"/>
      <c r="C41" s="27"/>
      <c r="D41" s="17"/>
      <c r="E41" s="17"/>
      <c r="F41" s="16"/>
      <c r="G41" s="16">
        <f t="shared" si="1"/>
        <v>0</v>
      </c>
      <c r="H41" s="19"/>
      <c r="I41" s="19"/>
      <c r="J41" s="19"/>
      <c r="K41" s="19"/>
      <c r="L41" s="19"/>
      <c r="M41" s="19"/>
      <c r="N41" s="19"/>
      <c r="O41" s="19"/>
      <c r="P41" s="19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2"/>
      <c r="B42" s="1"/>
      <c r="C42" s="27"/>
      <c r="D42" s="17"/>
      <c r="E42" s="17"/>
      <c r="F42" s="16"/>
      <c r="G42" s="16">
        <f t="shared" si="1"/>
        <v>0</v>
      </c>
      <c r="H42" s="19"/>
      <c r="I42" s="19"/>
      <c r="J42" s="19"/>
      <c r="K42" s="19"/>
      <c r="L42" s="19"/>
      <c r="M42" s="19"/>
      <c r="N42" s="19"/>
      <c r="O42" s="19"/>
      <c r="P42" s="19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2"/>
      <c r="B43" s="1"/>
      <c r="C43" s="27"/>
      <c r="D43" s="17"/>
      <c r="E43" s="17"/>
      <c r="F43" s="16"/>
      <c r="G43" s="16">
        <f t="shared" si="1"/>
        <v>0</v>
      </c>
      <c r="H43" s="19"/>
      <c r="I43" s="19"/>
      <c r="J43" s="19"/>
      <c r="K43" s="19"/>
      <c r="L43" s="19"/>
      <c r="M43" s="19"/>
      <c r="N43" s="19"/>
      <c r="O43" s="19"/>
      <c r="P43" s="19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2"/>
      <c r="B44" s="1"/>
      <c r="C44" s="27"/>
      <c r="D44" s="17"/>
      <c r="E44" s="17"/>
      <c r="F44" s="16"/>
      <c r="G44" s="16">
        <f t="shared" si="1"/>
        <v>0</v>
      </c>
      <c r="H44" s="19"/>
      <c r="I44" s="19"/>
      <c r="J44" s="19"/>
      <c r="K44" s="19"/>
      <c r="L44" s="19"/>
      <c r="M44" s="19"/>
      <c r="N44" s="19"/>
      <c r="O44" s="19"/>
      <c r="P44" s="19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2"/>
      <c r="B45" s="1"/>
      <c r="C45" s="27"/>
      <c r="D45" s="17"/>
      <c r="E45" s="17"/>
      <c r="F45" s="16"/>
      <c r="G45" s="16">
        <f t="shared" si="1"/>
        <v>0</v>
      </c>
      <c r="H45" s="19"/>
      <c r="I45" s="19"/>
      <c r="J45" s="19"/>
      <c r="K45" s="19"/>
      <c r="L45" s="19"/>
      <c r="M45" s="19"/>
      <c r="N45" s="19"/>
      <c r="O45" s="19"/>
      <c r="P45" s="19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2"/>
      <c r="B46" s="1"/>
      <c r="C46" s="27"/>
      <c r="D46" s="17"/>
      <c r="E46" s="17"/>
      <c r="F46" s="16"/>
      <c r="G46" s="16">
        <f t="shared" si="1"/>
        <v>0</v>
      </c>
      <c r="H46" s="19"/>
      <c r="I46" s="19"/>
      <c r="J46" s="19"/>
      <c r="K46" s="19"/>
      <c r="L46" s="19"/>
      <c r="M46" s="19"/>
      <c r="N46" s="19"/>
      <c r="O46" s="19"/>
      <c r="P46" s="19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2"/>
      <c r="B47" s="1"/>
      <c r="C47" s="27"/>
      <c r="D47" s="17"/>
      <c r="E47" s="17"/>
      <c r="F47" s="16"/>
      <c r="G47" s="16">
        <f t="shared" si="1"/>
        <v>0</v>
      </c>
      <c r="H47" s="19"/>
      <c r="I47" s="19"/>
      <c r="J47" s="19"/>
      <c r="K47" s="19"/>
      <c r="L47" s="19"/>
      <c r="M47" s="19"/>
      <c r="N47" s="19"/>
      <c r="O47" s="19"/>
      <c r="P47" s="19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2"/>
      <c r="B48" s="1"/>
      <c r="C48" s="27"/>
      <c r="D48" s="17"/>
      <c r="E48" s="17"/>
      <c r="F48" s="16"/>
      <c r="G48" s="16">
        <f t="shared" si="1"/>
        <v>0</v>
      </c>
      <c r="H48" s="19"/>
      <c r="I48" s="19"/>
      <c r="J48" s="19"/>
      <c r="K48" s="19"/>
      <c r="L48" s="19"/>
      <c r="M48" s="19"/>
      <c r="N48" s="19"/>
      <c r="O48" s="19"/>
      <c r="P48" s="19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2"/>
      <c r="B49" s="1"/>
      <c r="C49" s="27"/>
      <c r="D49" s="17"/>
      <c r="E49" s="17"/>
      <c r="F49" s="16"/>
      <c r="G49" s="16">
        <f t="shared" si="1"/>
        <v>0</v>
      </c>
      <c r="H49" s="19"/>
      <c r="I49" s="19"/>
      <c r="J49" s="19"/>
      <c r="K49" s="19"/>
      <c r="L49" s="19"/>
      <c r="M49" s="19"/>
      <c r="N49" s="19"/>
      <c r="O49" s="19"/>
      <c r="P49" s="19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2"/>
      <c r="B50" s="1"/>
      <c r="C50" s="27"/>
      <c r="D50" s="17"/>
      <c r="E50" s="17"/>
      <c r="F50" s="16"/>
      <c r="G50" s="16">
        <f t="shared" si="1"/>
        <v>0</v>
      </c>
      <c r="H50" s="19"/>
      <c r="I50" s="19"/>
      <c r="J50" s="19"/>
      <c r="K50" s="19"/>
      <c r="L50" s="19"/>
      <c r="M50" s="19"/>
      <c r="N50" s="19"/>
      <c r="O50" s="19"/>
      <c r="P50" s="19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mergeCells count="6">
    <mergeCell ref="D2:E2"/>
    <mergeCell ref="I20:J20"/>
    <mergeCell ref="C4:G4"/>
    <mergeCell ref="I4:J4"/>
    <mergeCell ref="I9:J9"/>
    <mergeCell ref="C13:G13"/>
  </mergeCells>
  <conditionalFormatting sqref="J27">
    <cfRule type="cellIs" dxfId="1" priority="1" stopIfTrue="1" operator="equal">
      <formula>"Sim"</formula>
    </cfRule>
    <cfRule type="cellIs" dxfId="0" priority="2" stopIfTrue="1" operator="equal">
      <formula>"Não"</formula>
    </cfRule>
  </conditionalFormatting>
  <dataValidations count="2">
    <dataValidation type="list" allowBlank="1" showInputMessage="1" showErrorMessage="1" sqref="D2:E2">
      <formula1>Serviços</formula1>
    </dataValidation>
    <dataValidation type="list" allowBlank="1" showInputMessage="1" showErrorMessage="1" sqref="D15:D50">
      <formula1>$C$6:$C$11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Validações!$A$2:$A$4</xm:f>
          </x14:formula1>
          <xm:sqref>J11</xm:sqref>
        </x14:dataValidation>
        <x14:dataValidation type="list" allowBlank="1" showInputMessage="1" showErrorMessage="1">
          <x14:formula1>
            <xm:f>Validações!$A$2:$A$4</xm:f>
          </x14:formula1>
          <xm:sqref>J12</xm:sqref>
        </x14:dataValidation>
        <x14:dataValidation type="list" allowBlank="1" showInputMessage="1" showErrorMessage="1">
          <x14:formula1>
            <xm:f>Validações!$A$2:$A$4</xm:f>
          </x14:formula1>
          <xm:sqref>J13</xm:sqref>
        </x14:dataValidation>
        <x14:dataValidation type="list" allowBlank="1" showInputMessage="1" showErrorMessage="1">
          <x14:formula1>
            <xm:f>Validações!$A$2:$A$4</xm:f>
          </x14:formula1>
          <xm:sqref>J14</xm:sqref>
        </x14:dataValidation>
        <x14:dataValidation type="list" allowBlank="1" showInputMessage="1" showErrorMessage="1">
          <x14:formula1>
            <xm:f>Validações!$A$2:$A$4</xm:f>
          </x14:formula1>
          <xm:sqref>J15</xm:sqref>
        </x14:dataValidation>
        <x14:dataValidation type="list" allowBlank="1" showInputMessage="1" showErrorMessage="1">
          <x14:formula1>
            <xm:f>Validações!$A$2:$A$4</xm:f>
          </x14:formula1>
          <xm:sqref>J16</xm:sqref>
        </x14:dataValidation>
        <x14:dataValidation type="list" allowBlank="1" showInputMessage="1" showErrorMessage="1">
          <x14:formula1>
            <xm:f>Validações!$A$2:$A$4</xm:f>
          </x14:formula1>
          <xm:sqref>J17</xm:sqref>
        </x14:dataValidation>
        <x14:dataValidation type="list" allowBlank="1" showInputMessage="1" showErrorMessage="1">
          <x14:formula1>
            <xm:f>Validações!$A$7:$A$8</xm:f>
          </x14:formula1>
          <xm:sqref>J21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4"/>
  <sheetViews>
    <sheetView workbookViewId="0"/>
  </sheetViews>
  <sheetFormatPr defaultRowHeight="15" x14ac:dyDescent="0.25"/>
  <cols>
    <col min="1" max="1" width="83.7109375" customWidth="1"/>
  </cols>
  <sheetData>
    <row r="1" spans="1:24" ht="409.5" x14ac:dyDescent="0.25">
      <c r="A1" s="15" t="s">
        <v>97</v>
      </c>
    </row>
    <row r="2" spans="1:24" x14ac:dyDescent="0.25">
      <c r="C2" s="10"/>
      <c r="F2" s="10"/>
      <c r="I2" s="10"/>
      <c r="L2" s="10"/>
    </row>
    <row r="3" spans="1:24" x14ac:dyDescent="0.25">
      <c r="C3" s="10"/>
      <c r="F3" s="10"/>
      <c r="I3" s="10"/>
      <c r="L3" s="10"/>
      <c r="O3" s="10"/>
    </row>
    <row r="4" spans="1:24" x14ac:dyDescent="0.25">
      <c r="C4" s="10"/>
      <c r="F4" s="10"/>
      <c r="I4" s="10"/>
      <c r="L4" s="10"/>
      <c r="O4" s="10"/>
      <c r="R4" s="10"/>
      <c r="X4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Y49"/>
  <sheetViews>
    <sheetView workbookViewId="0">
      <pane xSplit="1" topLeftCell="B1" activePane="topRight" state="frozen"/>
      <selection pane="topRight" activeCell="D6" sqref="D6"/>
    </sheetView>
  </sheetViews>
  <sheetFormatPr defaultRowHeight="15" x14ac:dyDescent="0.25"/>
  <cols>
    <col min="1" max="1" width="30.7109375" customWidth="1"/>
    <col min="2" max="2" width="2.7109375" customWidth="1"/>
    <col min="3" max="3" width="23.140625" bestFit="1" customWidth="1"/>
    <col min="4" max="4" width="10.7109375" bestFit="1" customWidth="1"/>
    <col min="5" max="5" width="8.85546875" bestFit="1" customWidth="1"/>
    <col min="6" max="6" width="10.7109375" bestFit="1" customWidth="1"/>
    <col min="7" max="7" width="12.5703125" bestFit="1" customWidth="1"/>
    <col min="8" max="8" width="10.7109375" bestFit="1" customWidth="1"/>
    <col min="9" max="9" width="21.5703125" bestFit="1" customWidth="1"/>
    <col min="10" max="10" width="12.85546875" bestFit="1" customWidth="1"/>
    <col min="11" max="11" width="19.7109375" bestFit="1" customWidth="1"/>
  </cols>
  <sheetData>
    <row r="1" spans="1:25" x14ac:dyDescent="0.25">
      <c r="A1" s="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x14ac:dyDescent="0.25">
      <c r="A2" s="2"/>
      <c r="B2" s="12"/>
      <c r="C2" s="13" t="s">
        <v>2</v>
      </c>
      <c r="D2" s="13" t="s">
        <v>47</v>
      </c>
      <c r="E2" s="13" t="s">
        <v>29</v>
      </c>
      <c r="F2" s="13" t="s">
        <v>45</v>
      </c>
      <c r="G2" s="13" t="s">
        <v>46</v>
      </c>
      <c r="H2" s="13" t="s">
        <v>36</v>
      </c>
      <c r="I2" s="13" t="s">
        <v>37</v>
      </c>
      <c r="J2" s="13" t="s">
        <v>43</v>
      </c>
      <c r="K2" s="13" t="s">
        <v>44</v>
      </c>
      <c r="L2" s="13" t="s">
        <v>48</v>
      </c>
      <c r="M2" s="12"/>
      <c r="N2" s="12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1:25" x14ac:dyDescent="0.25">
      <c r="A3" s="2"/>
      <c r="B3" s="11"/>
      <c r="C3" s="14" t="s">
        <v>98</v>
      </c>
      <c r="D3" s="43">
        <v>45613</v>
      </c>
      <c r="E3" s="29" t="s">
        <v>78</v>
      </c>
      <c r="F3" s="44">
        <v>6490.83</v>
      </c>
      <c r="G3" s="30">
        <v>0.27500000000000002</v>
      </c>
      <c r="H3" s="45">
        <v>8275.81</v>
      </c>
      <c r="I3" s="29" t="s">
        <v>39</v>
      </c>
      <c r="J3" s="29" t="s">
        <v>99</v>
      </c>
      <c r="K3" s="29" t="s">
        <v>99</v>
      </c>
      <c r="L3" s="29">
        <f>ROW(L3)</f>
        <v>3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</row>
    <row r="4" spans="1:25" x14ac:dyDescent="0.25">
      <c r="A4" s="2"/>
      <c r="B4" s="11"/>
      <c r="C4" s="14"/>
      <c r="D4" s="29"/>
      <c r="E4" s="29"/>
      <c r="F4" s="30"/>
      <c r="G4" s="30"/>
      <c r="H4" s="29"/>
      <c r="I4" s="29"/>
      <c r="J4" s="29"/>
      <c r="K4" s="29"/>
      <c r="L4" s="29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x14ac:dyDescent="0.25">
      <c r="A5" s="2"/>
      <c r="B5" s="11"/>
      <c r="C5" s="14"/>
      <c r="D5" s="29"/>
      <c r="E5" s="29"/>
      <c r="F5" s="30"/>
      <c r="G5" s="30"/>
      <c r="H5" s="29"/>
      <c r="I5" s="29"/>
      <c r="J5" s="29"/>
      <c r="K5" s="29"/>
      <c r="L5" s="29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x14ac:dyDescent="0.25">
      <c r="A6" s="2"/>
      <c r="B6" s="11"/>
      <c r="C6" s="14"/>
      <c r="D6" s="29"/>
      <c r="E6" s="29"/>
      <c r="F6" s="30"/>
      <c r="G6" s="30"/>
      <c r="H6" s="29"/>
      <c r="I6" s="29"/>
      <c r="J6" s="29"/>
      <c r="K6" s="29"/>
      <c r="L6" s="29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x14ac:dyDescent="0.25">
      <c r="A7" s="2"/>
      <c r="B7" s="11"/>
      <c r="C7" s="14"/>
      <c r="D7" s="29"/>
      <c r="E7" s="29"/>
      <c r="F7" s="30"/>
      <c r="G7" s="30"/>
      <c r="H7" s="29"/>
      <c r="I7" s="29"/>
      <c r="J7" s="29"/>
      <c r="K7" s="29"/>
      <c r="L7" s="29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x14ac:dyDescent="0.25">
      <c r="A8" s="2"/>
      <c r="B8" s="11"/>
      <c r="C8" s="14"/>
      <c r="D8" s="29"/>
      <c r="E8" s="29"/>
      <c r="F8" s="30"/>
      <c r="G8" s="30"/>
      <c r="H8" s="29"/>
      <c r="I8" s="29"/>
      <c r="J8" s="29"/>
      <c r="K8" s="29"/>
      <c r="L8" s="29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x14ac:dyDescent="0.25">
      <c r="A9" s="2"/>
      <c r="B9" s="11"/>
      <c r="C9" s="14"/>
      <c r="D9" s="29"/>
      <c r="E9" s="29"/>
      <c r="F9" s="30"/>
      <c r="G9" s="30"/>
      <c r="H9" s="29"/>
      <c r="I9" s="29"/>
      <c r="J9" s="29"/>
      <c r="K9" s="29"/>
      <c r="L9" s="29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  <row r="10" spans="1:25" x14ac:dyDescent="0.25">
      <c r="A10" s="2"/>
      <c r="B10" s="11"/>
      <c r="C10" s="14"/>
      <c r="D10" s="29"/>
      <c r="E10" s="29"/>
      <c r="F10" s="30"/>
      <c r="G10" s="30"/>
      <c r="H10" s="29"/>
      <c r="I10" s="29"/>
      <c r="J10" s="29"/>
      <c r="K10" s="29"/>
      <c r="L10" s="29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</row>
    <row r="11" spans="1:25" x14ac:dyDescent="0.25">
      <c r="A11" s="2"/>
      <c r="B11" s="11"/>
      <c r="C11" s="14"/>
      <c r="D11" s="29"/>
      <c r="E11" s="29"/>
      <c r="F11" s="30"/>
      <c r="G11" s="30"/>
      <c r="H11" s="29"/>
      <c r="I11" s="29"/>
      <c r="J11" s="29"/>
      <c r="K11" s="29"/>
      <c r="L11" s="29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</row>
    <row r="12" spans="1:25" x14ac:dyDescent="0.25">
      <c r="A12" s="2"/>
      <c r="B12" s="1"/>
      <c r="C12" s="14"/>
      <c r="D12" s="29"/>
      <c r="E12" s="29"/>
      <c r="F12" s="30"/>
      <c r="G12" s="30"/>
      <c r="H12" s="29"/>
      <c r="I12" s="29"/>
      <c r="J12" s="29"/>
      <c r="K12" s="29"/>
      <c r="L12" s="29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2"/>
      <c r="B13" s="1"/>
      <c r="C13" s="14"/>
      <c r="D13" s="29"/>
      <c r="E13" s="29"/>
      <c r="F13" s="30"/>
      <c r="G13" s="30"/>
      <c r="H13" s="29"/>
      <c r="I13" s="29"/>
      <c r="J13" s="29"/>
      <c r="K13" s="29"/>
      <c r="L13" s="29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2"/>
      <c r="B14" s="1"/>
      <c r="C14" s="31"/>
      <c r="D14" s="32"/>
      <c r="E14" s="32"/>
      <c r="F14" s="32"/>
      <c r="G14" s="33"/>
      <c r="H14" s="32"/>
      <c r="I14" s="32"/>
      <c r="J14" s="32"/>
      <c r="K14" s="32"/>
      <c r="L14" s="3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2"/>
      <c r="B15" s="1"/>
      <c r="C15" s="31"/>
      <c r="D15" s="32"/>
      <c r="E15" s="32"/>
      <c r="F15" s="32"/>
      <c r="G15" s="33"/>
      <c r="H15" s="32"/>
      <c r="I15" s="32"/>
      <c r="J15" s="32"/>
      <c r="K15" s="32"/>
      <c r="L15" s="3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2"/>
      <c r="B16" s="1"/>
      <c r="C16" s="31"/>
      <c r="D16" s="32"/>
      <c r="E16" s="32"/>
      <c r="F16" s="32"/>
      <c r="G16" s="33"/>
      <c r="H16" s="32"/>
      <c r="I16" s="32"/>
      <c r="J16" s="32"/>
      <c r="K16" s="32"/>
      <c r="L16" s="32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2"/>
      <c r="B17" s="1"/>
      <c r="C17" s="31"/>
      <c r="D17" s="32"/>
      <c r="E17" s="32"/>
      <c r="F17" s="32"/>
      <c r="G17" s="33"/>
      <c r="H17" s="32"/>
      <c r="I17" s="32"/>
      <c r="J17" s="32"/>
      <c r="K17" s="32"/>
      <c r="L17" s="3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2"/>
      <c r="B18" s="1"/>
      <c r="C18" s="31"/>
      <c r="D18" s="32"/>
      <c r="E18" s="32"/>
      <c r="F18" s="32"/>
      <c r="G18" s="33"/>
      <c r="H18" s="32"/>
      <c r="I18" s="32"/>
      <c r="J18" s="32"/>
      <c r="K18" s="32"/>
      <c r="L18" s="3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2"/>
      <c r="B19" s="1"/>
      <c r="C19" s="31"/>
      <c r="D19" s="32"/>
      <c r="E19" s="32"/>
      <c r="F19" s="32"/>
      <c r="G19" s="32"/>
      <c r="H19" s="32"/>
      <c r="I19" s="32"/>
      <c r="J19" s="32"/>
      <c r="K19" s="32"/>
      <c r="L19" s="3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2"/>
      <c r="B20" s="1"/>
      <c r="C20" s="31"/>
      <c r="D20" s="32"/>
      <c r="E20" s="32"/>
      <c r="F20" s="32"/>
      <c r="G20" s="32"/>
      <c r="H20" s="32"/>
      <c r="I20" s="32"/>
      <c r="J20" s="32"/>
      <c r="K20" s="32"/>
      <c r="L20" s="32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2"/>
      <c r="B21" s="1"/>
      <c r="C21" s="31"/>
      <c r="D21" s="32"/>
      <c r="E21" s="32"/>
      <c r="F21" s="32"/>
      <c r="G21" s="32"/>
      <c r="H21" s="32"/>
      <c r="I21" s="32"/>
      <c r="J21" s="32"/>
      <c r="K21" s="32"/>
      <c r="L21" s="3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2"/>
      <c r="B22" s="1"/>
      <c r="C22" s="31"/>
      <c r="D22" s="32"/>
      <c r="E22" s="32"/>
      <c r="F22" s="32"/>
      <c r="G22" s="32"/>
      <c r="H22" s="32"/>
      <c r="I22" s="32"/>
      <c r="J22" s="32"/>
      <c r="K22" s="32"/>
      <c r="L22" s="3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2"/>
      <c r="B23" s="1"/>
      <c r="C23" s="31"/>
      <c r="D23" s="32"/>
      <c r="E23" s="32"/>
      <c r="F23" s="32"/>
      <c r="G23" s="32"/>
      <c r="H23" s="32"/>
      <c r="I23" s="32"/>
      <c r="J23" s="32"/>
      <c r="K23" s="32"/>
      <c r="L23" s="3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2"/>
      <c r="B24" s="1"/>
      <c r="C24" s="31"/>
      <c r="D24" s="32"/>
      <c r="E24" s="32"/>
      <c r="F24" s="32"/>
      <c r="G24" s="32"/>
      <c r="H24" s="32"/>
      <c r="I24" s="32"/>
      <c r="J24" s="32"/>
      <c r="K24" s="32"/>
      <c r="L24" s="3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2"/>
      <c r="B25" s="1"/>
      <c r="C25" s="31"/>
      <c r="D25" s="32"/>
      <c r="E25" s="32"/>
      <c r="F25" s="32"/>
      <c r="G25" s="32"/>
      <c r="H25" s="32"/>
      <c r="I25" s="32"/>
      <c r="J25" s="32"/>
      <c r="K25" s="32"/>
      <c r="L25" s="3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2"/>
      <c r="B26" s="1"/>
      <c r="C26" s="31"/>
      <c r="D26" s="32"/>
      <c r="E26" s="32"/>
      <c r="F26" s="32"/>
      <c r="G26" s="32"/>
      <c r="H26" s="32"/>
      <c r="I26" s="32"/>
      <c r="J26" s="32"/>
      <c r="K26" s="32"/>
      <c r="L26" s="3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2"/>
      <c r="B27" s="1"/>
      <c r="C27" s="31"/>
      <c r="D27" s="32"/>
      <c r="E27" s="32"/>
      <c r="F27" s="32"/>
      <c r="G27" s="32"/>
      <c r="H27" s="32"/>
      <c r="I27" s="32"/>
      <c r="J27" s="32"/>
      <c r="K27" s="32"/>
      <c r="L27" s="3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2"/>
      <c r="B28" s="1"/>
      <c r="C28" s="31"/>
      <c r="D28" s="32"/>
      <c r="E28" s="32"/>
      <c r="F28" s="32"/>
      <c r="G28" s="32"/>
      <c r="H28" s="32"/>
      <c r="I28" s="32"/>
      <c r="J28" s="32"/>
      <c r="K28" s="32"/>
      <c r="L28" s="32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2"/>
      <c r="B29" s="1"/>
      <c r="C29" s="31"/>
      <c r="D29" s="32"/>
      <c r="E29" s="32"/>
      <c r="F29" s="32"/>
      <c r="G29" s="32"/>
      <c r="H29" s="32"/>
      <c r="I29" s="32"/>
      <c r="J29" s="32"/>
      <c r="K29" s="32"/>
      <c r="L29" s="32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2"/>
      <c r="B30" s="1"/>
      <c r="C30" s="31"/>
      <c r="D30" s="32"/>
      <c r="E30" s="32"/>
      <c r="F30" s="32"/>
      <c r="G30" s="32"/>
      <c r="H30" s="32"/>
      <c r="I30" s="32"/>
      <c r="J30" s="32"/>
      <c r="K30" s="32"/>
      <c r="L30" s="32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2"/>
      <c r="B31" s="1"/>
      <c r="C31" s="31"/>
      <c r="D31" s="32"/>
      <c r="E31" s="32"/>
      <c r="F31" s="32"/>
      <c r="G31" s="32"/>
      <c r="H31" s="32"/>
      <c r="I31" s="32"/>
      <c r="J31" s="32"/>
      <c r="K31" s="32"/>
      <c r="L31" s="32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2"/>
      <c r="B32" s="1"/>
      <c r="C32" s="31"/>
      <c r="D32" s="32"/>
      <c r="E32" s="32"/>
      <c r="F32" s="32"/>
      <c r="G32" s="32"/>
      <c r="H32" s="32"/>
      <c r="I32" s="32"/>
      <c r="J32" s="32"/>
      <c r="K32" s="32"/>
      <c r="L32" s="32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2"/>
      <c r="B33" s="1"/>
      <c r="C33" s="31"/>
      <c r="D33" s="32"/>
      <c r="E33" s="32"/>
      <c r="F33" s="32"/>
      <c r="G33" s="32"/>
      <c r="H33" s="32"/>
      <c r="I33" s="32"/>
      <c r="J33" s="32"/>
      <c r="K33" s="32"/>
      <c r="L33" s="32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2"/>
      <c r="B34" s="1"/>
      <c r="C34" s="31"/>
      <c r="D34" s="32"/>
      <c r="E34" s="32"/>
      <c r="F34" s="32"/>
      <c r="G34" s="32"/>
      <c r="H34" s="32"/>
      <c r="I34" s="32"/>
      <c r="J34" s="32"/>
      <c r="K34" s="32"/>
      <c r="L34" s="32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2"/>
      <c r="B35" s="1"/>
      <c r="C35" s="31"/>
      <c r="D35" s="32"/>
      <c r="E35" s="32"/>
      <c r="F35" s="32"/>
      <c r="G35" s="32"/>
      <c r="H35" s="32"/>
      <c r="I35" s="32"/>
      <c r="J35" s="32"/>
      <c r="K35" s="32"/>
      <c r="L35" s="32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2"/>
      <c r="B36" s="1"/>
      <c r="C36" s="31"/>
      <c r="D36" s="32"/>
      <c r="E36" s="32"/>
      <c r="F36" s="32"/>
      <c r="G36" s="32"/>
      <c r="H36" s="32"/>
      <c r="I36" s="32"/>
      <c r="J36" s="32"/>
      <c r="K36" s="32"/>
      <c r="L36" s="32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2"/>
      <c r="B37" s="1"/>
      <c r="C37" s="31"/>
      <c r="D37" s="32"/>
      <c r="E37" s="32"/>
      <c r="F37" s="32"/>
      <c r="G37" s="32"/>
      <c r="H37" s="32"/>
      <c r="I37" s="32"/>
      <c r="J37" s="32"/>
      <c r="K37" s="32"/>
      <c r="L37" s="32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2"/>
      <c r="B38" s="1"/>
      <c r="C38" s="31"/>
      <c r="D38" s="32"/>
      <c r="E38" s="32"/>
      <c r="F38" s="32"/>
      <c r="G38" s="32"/>
      <c r="H38" s="32"/>
      <c r="I38" s="32"/>
      <c r="J38" s="32"/>
      <c r="K38" s="32"/>
      <c r="L38" s="32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2"/>
      <c r="B39" s="1"/>
      <c r="C39" s="31"/>
      <c r="D39" s="32"/>
      <c r="E39" s="32"/>
      <c r="F39" s="32"/>
      <c r="G39" s="32"/>
      <c r="H39" s="32"/>
      <c r="I39" s="32"/>
      <c r="J39" s="32"/>
      <c r="K39" s="32"/>
      <c r="L39" s="32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2"/>
      <c r="B40" s="1"/>
      <c r="C40" s="31"/>
      <c r="D40" s="32"/>
      <c r="E40" s="32"/>
      <c r="F40" s="32"/>
      <c r="G40" s="32"/>
      <c r="H40" s="32"/>
      <c r="I40" s="32"/>
      <c r="J40" s="32"/>
      <c r="K40" s="32"/>
      <c r="L40" s="32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2"/>
      <c r="B41" s="1"/>
      <c r="C41" s="31"/>
      <c r="D41" s="32"/>
      <c r="E41" s="32"/>
      <c r="F41" s="32"/>
      <c r="G41" s="32"/>
      <c r="H41" s="32"/>
      <c r="I41" s="32"/>
      <c r="J41" s="32"/>
      <c r="K41" s="32"/>
      <c r="L41" s="32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2"/>
      <c r="B42" s="1"/>
      <c r="C42" s="31"/>
      <c r="D42" s="32"/>
      <c r="E42" s="32"/>
      <c r="F42" s="32"/>
      <c r="G42" s="32"/>
      <c r="H42" s="32"/>
      <c r="I42" s="32"/>
      <c r="J42" s="32"/>
      <c r="K42" s="32"/>
      <c r="L42" s="32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2"/>
      <c r="B43" s="1"/>
      <c r="C43" s="31"/>
      <c r="D43" s="32"/>
      <c r="E43" s="32"/>
      <c r="F43" s="32"/>
      <c r="G43" s="32"/>
      <c r="H43" s="32"/>
      <c r="I43" s="32"/>
      <c r="J43" s="32"/>
      <c r="K43" s="32"/>
      <c r="L43" s="32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2"/>
      <c r="B44" s="1"/>
      <c r="C44" s="31"/>
      <c r="D44" s="32"/>
      <c r="E44" s="32"/>
      <c r="F44" s="32"/>
      <c r="G44" s="32"/>
      <c r="H44" s="32"/>
      <c r="I44" s="32"/>
      <c r="J44" s="32"/>
      <c r="K44" s="32"/>
      <c r="L44" s="32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2"/>
      <c r="B45" s="1"/>
      <c r="C45" s="31"/>
      <c r="D45" s="32"/>
      <c r="E45" s="32"/>
      <c r="F45" s="32"/>
      <c r="G45" s="32"/>
      <c r="H45" s="32"/>
      <c r="I45" s="32"/>
      <c r="J45" s="32"/>
      <c r="K45" s="32"/>
      <c r="L45" s="32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2"/>
      <c r="B46" s="1"/>
      <c r="C46" s="31"/>
      <c r="D46" s="32"/>
      <c r="E46" s="32"/>
      <c r="F46" s="32"/>
      <c r="G46" s="32"/>
      <c r="H46" s="32"/>
      <c r="I46" s="32"/>
      <c r="J46" s="32"/>
      <c r="K46" s="32"/>
      <c r="L46" s="32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2"/>
      <c r="B47" s="1"/>
      <c r="C47" s="31"/>
      <c r="D47" s="32"/>
      <c r="E47" s="32"/>
      <c r="F47" s="32"/>
      <c r="G47" s="32"/>
      <c r="H47" s="32"/>
      <c r="I47" s="32"/>
      <c r="J47" s="32"/>
      <c r="K47" s="32"/>
      <c r="L47" s="3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2"/>
      <c r="B48" s="1"/>
      <c r="C48" s="31"/>
      <c r="D48" s="32"/>
      <c r="E48" s="32"/>
      <c r="F48" s="32"/>
      <c r="G48" s="32"/>
      <c r="H48" s="32"/>
      <c r="I48" s="32"/>
      <c r="J48" s="32"/>
      <c r="K48" s="32"/>
      <c r="L48" s="32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2"/>
      <c r="B49" s="1"/>
      <c r="C49" s="31"/>
      <c r="D49" s="32"/>
      <c r="E49" s="32"/>
      <c r="F49" s="32"/>
      <c r="G49" s="32"/>
      <c r="H49" s="32"/>
      <c r="I49" s="32"/>
      <c r="J49" s="32"/>
      <c r="K49" s="32"/>
      <c r="L49" s="32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3">
              <controlPr defaultSize="0" print="0" autoFill="0" autoPict="0" macro="[0]!deletarLinha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Z50"/>
  <sheetViews>
    <sheetView workbookViewId="0">
      <pane xSplit="1" topLeftCell="B1" activePane="topRight" state="frozen"/>
      <selection pane="topRight" activeCell="C10" sqref="C10"/>
    </sheetView>
  </sheetViews>
  <sheetFormatPr defaultRowHeight="15" x14ac:dyDescent="0.25"/>
  <cols>
    <col min="1" max="1" width="30.7109375" customWidth="1"/>
    <col min="2" max="2" width="2.7109375" customWidth="1"/>
    <col min="3" max="3" width="26" bestFit="1" customWidth="1"/>
    <col min="4" max="4" width="13.28515625" bestFit="1" customWidth="1"/>
    <col min="5" max="5" width="2.7109375" customWidth="1"/>
    <col min="6" max="6" width="16.85546875" bestFit="1" customWidth="1"/>
    <col min="7" max="7" width="10.5703125" bestFit="1" customWidth="1"/>
    <col min="8" max="8" width="2.7109375" customWidth="1"/>
    <col min="9" max="9" width="24.28515625" bestFit="1" customWidth="1"/>
    <col min="10" max="10" width="13.28515625" bestFit="1" customWidth="1"/>
  </cols>
  <sheetData>
    <row r="1" spans="1:26" x14ac:dyDescent="0.25">
      <c r="A1" s="2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/>
      <c r="B2" s="1"/>
      <c r="C2" s="39" t="s">
        <v>10</v>
      </c>
      <c r="D2" s="40"/>
      <c r="E2" s="1"/>
      <c r="F2" s="39" t="s">
        <v>24</v>
      </c>
      <c r="G2" s="40"/>
      <c r="H2" s="1"/>
      <c r="I2" s="38" t="s">
        <v>31</v>
      </c>
      <c r="J2" s="38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2"/>
      <c r="B3" s="1"/>
      <c r="C3" s="6" t="s">
        <v>11</v>
      </c>
      <c r="D3" s="6" t="s">
        <v>12</v>
      </c>
      <c r="E3" s="1"/>
      <c r="F3" s="7" t="s">
        <v>25</v>
      </c>
      <c r="G3" s="3" t="s">
        <v>12</v>
      </c>
      <c r="H3" s="1"/>
      <c r="I3" s="7" t="s">
        <v>23</v>
      </c>
      <c r="J3" s="5">
        <f>SUM(D4:D35)</f>
        <v>14569.94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2"/>
      <c r="B4" s="1"/>
      <c r="C4" s="7" t="s">
        <v>13</v>
      </c>
      <c r="D4" s="5">
        <v>2640</v>
      </c>
      <c r="E4" s="1"/>
      <c r="F4" s="7" t="s">
        <v>26</v>
      </c>
      <c r="G4" s="5">
        <v>130</v>
      </c>
      <c r="H4" s="1"/>
      <c r="I4" s="7" t="s">
        <v>28</v>
      </c>
      <c r="J4" s="5">
        <f>SUM(G4:G35)</f>
        <v>130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2"/>
      <c r="B5" s="1"/>
      <c r="C5" s="7" t="s">
        <v>14</v>
      </c>
      <c r="D5" s="5">
        <v>500</v>
      </c>
      <c r="E5" s="1"/>
      <c r="F5" s="7" t="s">
        <v>27</v>
      </c>
      <c r="G5" s="5">
        <v>0</v>
      </c>
      <c r="H5" s="1"/>
      <c r="I5" s="7" t="s">
        <v>72</v>
      </c>
      <c r="J5" s="5">
        <f>(J3+J4)/12</f>
        <v>1224.9950000000001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2"/>
      <c r="B6" s="1"/>
      <c r="C6" s="7" t="s">
        <v>15</v>
      </c>
      <c r="D6" s="5">
        <v>300</v>
      </c>
      <c r="E6" s="1"/>
      <c r="F6" s="7"/>
      <c r="G6" s="5"/>
      <c r="H6" s="1"/>
      <c r="I6" s="7" t="s">
        <v>73</v>
      </c>
      <c r="J6" s="5">
        <f>J5/720</f>
        <v>1.7013819444444447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/>
      <c r="B7" s="1"/>
      <c r="C7" s="7" t="s">
        <v>94</v>
      </c>
      <c r="D7" s="5">
        <v>575</v>
      </c>
      <c r="E7" s="1"/>
      <c r="F7" s="7"/>
      <c r="G7" s="5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/>
      <c r="B8" s="1"/>
      <c r="C8" s="7" t="s">
        <v>16</v>
      </c>
      <c r="D8" s="5">
        <v>38</v>
      </c>
      <c r="E8" s="1"/>
      <c r="F8" s="7"/>
      <c r="G8" s="5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/>
      <c r="B9" s="1"/>
      <c r="C9" s="7" t="s">
        <v>17</v>
      </c>
      <c r="D9" s="5">
        <v>2466.94</v>
      </c>
      <c r="E9" s="1"/>
      <c r="F9" s="7"/>
      <c r="G9" s="5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/>
      <c r="B10" s="1"/>
      <c r="C10" s="7" t="s">
        <v>18</v>
      </c>
      <c r="D10" s="5">
        <v>7200</v>
      </c>
      <c r="E10" s="1"/>
      <c r="F10" s="7"/>
      <c r="G10" s="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/>
      <c r="B11" s="1"/>
      <c r="C11" s="7" t="s">
        <v>19</v>
      </c>
      <c r="D11" s="5">
        <v>0</v>
      </c>
      <c r="E11" s="1"/>
      <c r="F11" s="7"/>
      <c r="G11" s="5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/>
      <c r="B12" s="1"/>
      <c r="C12" s="7" t="s">
        <v>20</v>
      </c>
      <c r="D12" s="5">
        <v>0</v>
      </c>
      <c r="E12" s="1"/>
      <c r="F12" s="7"/>
      <c r="G12" s="5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/>
      <c r="B13" s="1"/>
      <c r="C13" s="7" t="s">
        <v>21</v>
      </c>
      <c r="D13" s="5">
        <v>0</v>
      </c>
      <c r="E13" s="1"/>
      <c r="F13" s="7"/>
      <c r="G13" s="5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/>
      <c r="B14" s="1"/>
      <c r="C14" s="7" t="s">
        <v>22</v>
      </c>
      <c r="D14" s="5">
        <v>850</v>
      </c>
      <c r="E14" s="1"/>
      <c r="F14" s="7"/>
      <c r="G14" s="5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/>
      <c r="B15" s="1"/>
      <c r="C15" s="7"/>
      <c r="D15" s="5"/>
      <c r="E15" s="1"/>
      <c r="F15" s="7"/>
      <c r="G15" s="5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2"/>
      <c r="B16" s="1"/>
      <c r="C16" s="7"/>
      <c r="D16" s="5"/>
      <c r="E16" s="1"/>
      <c r="F16" s="7"/>
      <c r="G16" s="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2"/>
      <c r="B17" s="1"/>
      <c r="C17" s="7"/>
      <c r="D17" s="5"/>
      <c r="E17" s="1"/>
      <c r="F17" s="7"/>
      <c r="G17" s="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2"/>
      <c r="B18" s="1"/>
      <c r="C18" s="7"/>
      <c r="D18" s="5"/>
      <c r="E18" s="1"/>
      <c r="F18" s="7"/>
      <c r="G18" s="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2"/>
      <c r="B19" s="1"/>
      <c r="C19" s="7"/>
      <c r="D19" s="5"/>
      <c r="E19" s="1"/>
      <c r="F19" s="7"/>
      <c r="G19" s="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2"/>
      <c r="B20" s="1"/>
      <c r="C20" s="7"/>
      <c r="D20" s="5"/>
      <c r="E20" s="1"/>
      <c r="F20" s="7"/>
      <c r="G20" s="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2"/>
      <c r="B21" s="1"/>
      <c r="C21" s="7"/>
      <c r="D21" s="5"/>
      <c r="E21" s="1"/>
      <c r="F21" s="7"/>
      <c r="G21" s="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2"/>
      <c r="B22" s="1"/>
      <c r="C22" s="7"/>
      <c r="D22" s="5"/>
      <c r="E22" s="1"/>
      <c r="F22" s="7"/>
      <c r="G22" s="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2"/>
      <c r="B23" s="1"/>
      <c r="C23" s="7"/>
      <c r="D23" s="5"/>
      <c r="E23" s="1"/>
      <c r="F23" s="7"/>
      <c r="G23" s="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2"/>
      <c r="B24" s="1"/>
      <c r="C24" s="7"/>
      <c r="D24" s="5"/>
      <c r="E24" s="1"/>
      <c r="F24" s="7"/>
      <c r="G24" s="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2"/>
      <c r="B25" s="1"/>
      <c r="C25" s="7"/>
      <c r="D25" s="5"/>
      <c r="E25" s="1"/>
      <c r="F25" s="7"/>
      <c r="G25" s="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2"/>
      <c r="B26" s="1"/>
      <c r="C26" s="7"/>
      <c r="D26" s="5"/>
      <c r="E26" s="1"/>
      <c r="F26" s="7"/>
      <c r="G26" s="5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2"/>
      <c r="B27" s="1"/>
      <c r="C27" s="7"/>
      <c r="D27" s="5"/>
      <c r="E27" s="1"/>
      <c r="F27" s="7"/>
      <c r="G27" s="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1"/>
      <c r="C28" s="7"/>
      <c r="D28" s="5"/>
      <c r="E28" s="1"/>
      <c r="F28" s="7"/>
      <c r="G28" s="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1"/>
      <c r="C29" s="7"/>
      <c r="D29" s="5"/>
      <c r="E29" s="1"/>
      <c r="F29" s="7"/>
      <c r="G29" s="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1"/>
      <c r="C30" s="7"/>
      <c r="D30" s="5"/>
      <c r="E30" s="1"/>
      <c r="F30" s="7"/>
      <c r="G30" s="5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1"/>
      <c r="C31" s="7"/>
      <c r="D31" s="5"/>
      <c r="E31" s="1"/>
      <c r="F31" s="7"/>
      <c r="G31" s="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1"/>
      <c r="C32" s="7"/>
      <c r="D32" s="5"/>
      <c r="E32" s="1"/>
      <c r="F32" s="7"/>
      <c r="G32" s="5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1"/>
      <c r="C33" s="7"/>
      <c r="D33" s="5"/>
      <c r="E33" s="1"/>
      <c r="F33" s="7"/>
      <c r="G33" s="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1"/>
      <c r="C34" s="7"/>
      <c r="D34" s="5"/>
      <c r="E34" s="1"/>
      <c r="F34" s="7"/>
      <c r="G34" s="5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1"/>
      <c r="C35" s="7"/>
      <c r="D35" s="5"/>
      <c r="E35" s="1"/>
      <c r="F35" s="7"/>
      <c r="G35" s="5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mergeCells count="3">
    <mergeCell ref="I2:J2"/>
    <mergeCell ref="C2:D2"/>
    <mergeCell ref="F2:G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Z50"/>
  <sheetViews>
    <sheetView workbookViewId="0">
      <pane xSplit="1" topLeftCell="B1" activePane="topRight" state="frozen"/>
      <selection pane="topRight" activeCell="E11" sqref="E11"/>
    </sheetView>
  </sheetViews>
  <sheetFormatPr defaultRowHeight="15" x14ac:dyDescent="0.25"/>
  <cols>
    <col min="1" max="1" width="30.7109375" customWidth="1"/>
    <col min="2" max="2" width="2.7109375" customWidth="1"/>
    <col min="3" max="3" width="25.140625" bestFit="1" customWidth="1"/>
    <col min="4" max="5" width="13.28515625" bestFit="1" customWidth="1"/>
    <col min="6" max="6" width="8.85546875" bestFit="1" customWidth="1"/>
    <col min="7" max="7" width="15.5703125" bestFit="1" customWidth="1"/>
    <col min="8" max="8" width="16.85546875" bestFit="1" customWidth="1"/>
    <col min="9" max="10" width="9.5703125" bestFit="1" customWidth="1"/>
    <col min="11" max="11" width="7.7109375" bestFit="1" customWidth="1"/>
    <col min="12" max="12" width="10" customWidth="1"/>
  </cols>
  <sheetData>
    <row r="1" spans="1:26" x14ac:dyDescent="0.25">
      <c r="A1" s="2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/>
      <c r="B2" s="1"/>
      <c r="C2" s="4" t="s">
        <v>29</v>
      </c>
      <c r="D2" s="21" t="s">
        <v>74</v>
      </c>
      <c r="E2" s="21" t="s">
        <v>75</v>
      </c>
      <c r="F2" s="39" t="s">
        <v>30</v>
      </c>
      <c r="G2" s="41"/>
      <c r="H2" s="41"/>
      <c r="I2" s="41"/>
      <c r="J2" s="41"/>
      <c r="K2" s="40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2"/>
      <c r="B3" s="1"/>
      <c r="C3" s="7" t="s">
        <v>78</v>
      </c>
      <c r="D3" s="22">
        <v>7000</v>
      </c>
      <c r="E3" s="22">
        <v>20000</v>
      </c>
      <c r="F3" s="3" t="s">
        <v>0</v>
      </c>
      <c r="G3" s="3" t="s">
        <v>4</v>
      </c>
      <c r="H3" s="3" t="s">
        <v>8</v>
      </c>
      <c r="I3" s="3" t="s">
        <v>5</v>
      </c>
      <c r="J3" s="3" t="s">
        <v>6</v>
      </c>
      <c r="K3" s="3" t="s">
        <v>7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2"/>
      <c r="B4" s="1"/>
      <c r="C4" s="7" t="s">
        <v>79</v>
      </c>
      <c r="D4" s="22">
        <v>4000</v>
      </c>
      <c r="E4" s="22">
        <v>10000</v>
      </c>
      <c r="F4" s="3" t="s">
        <v>88</v>
      </c>
      <c r="G4" s="3" t="s">
        <v>89</v>
      </c>
      <c r="H4" s="3" t="s">
        <v>90</v>
      </c>
      <c r="I4" s="3" t="s">
        <v>91</v>
      </c>
      <c r="J4" s="3" t="s">
        <v>92</v>
      </c>
      <c r="K4" s="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2"/>
      <c r="B5" s="1"/>
      <c r="C5" s="7" t="s">
        <v>80</v>
      </c>
      <c r="D5" s="22">
        <v>2000</v>
      </c>
      <c r="E5" s="22">
        <v>5000</v>
      </c>
      <c r="F5" s="3" t="s">
        <v>88</v>
      </c>
      <c r="G5" s="3" t="s">
        <v>89</v>
      </c>
      <c r="H5" s="3" t="s">
        <v>90</v>
      </c>
      <c r="I5" s="3" t="s">
        <v>91</v>
      </c>
      <c r="K5" s="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2"/>
      <c r="B6" s="1"/>
      <c r="C6" s="7" t="s">
        <v>81</v>
      </c>
      <c r="D6" s="23">
        <v>1500</v>
      </c>
      <c r="E6" s="23">
        <v>5000</v>
      </c>
      <c r="F6" s="3" t="s">
        <v>88</v>
      </c>
      <c r="G6" s="3" t="s">
        <v>89</v>
      </c>
      <c r="H6" s="3" t="s">
        <v>90</v>
      </c>
      <c r="I6" s="3"/>
      <c r="J6" s="20"/>
      <c r="K6" s="20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/>
      <c r="B7" s="1"/>
      <c r="C7" s="7" t="s">
        <v>82</v>
      </c>
      <c r="D7" s="23">
        <v>400</v>
      </c>
      <c r="E7" s="23">
        <v>2000</v>
      </c>
      <c r="F7" s="3" t="s">
        <v>88</v>
      </c>
      <c r="G7" s="3" t="s">
        <v>89</v>
      </c>
      <c r="H7" s="3" t="s">
        <v>90</v>
      </c>
      <c r="I7" s="3" t="s">
        <v>91</v>
      </c>
      <c r="J7" s="3" t="s">
        <v>92</v>
      </c>
      <c r="K7" s="20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/>
      <c r="B8" s="1"/>
      <c r="C8" s="7" t="s">
        <v>83</v>
      </c>
      <c r="D8" s="23">
        <v>2500</v>
      </c>
      <c r="E8" s="23">
        <v>15000</v>
      </c>
      <c r="F8" s="3" t="s">
        <v>88</v>
      </c>
      <c r="G8" s="3" t="s">
        <v>89</v>
      </c>
      <c r="H8" s="3" t="s">
        <v>90</v>
      </c>
      <c r="I8" s="3" t="s">
        <v>91</v>
      </c>
      <c r="J8" s="3" t="s">
        <v>92</v>
      </c>
      <c r="K8" s="3" t="s">
        <v>93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/>
      <c r="B9" s="1"/>
      <c r="C9" s="7" t="s">
        <v>84</v>
      </c>
      <c r="D9" s="23">
        <v>1000</v>
      </c>
      <c r="E9" s="23">
        <v>10000</v>
      </c>
      <c r="F9" s="3" t="s">
        <v>88</v>
      </c>
      <c r="G9" s="3" t="s">
        <v>89</v>
      </c>
      <c r="H9" s="3" t="s">
        <v>90</v>
      </c>
      <c r="I9" s="3"/>
      <c r="J9" s="20"/>
      <c r="K9" s="20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/>
      <c r="B10" s="1"/>
      <c r="C10" s="7" t="s">
        <v>85</v>
      </c>
      <c r="D10" s="23">
        <v>500</v>
      </c>
      <c r="E10" s="23">
        <v>3000</v>
      </c>
      <c r="F10" s="3" t="s">
        <v>88</v>
      </c>
      <c r="G10" s="3"/>
      <c r="H10" s="3"/>
      <c r="I10" s="3"/>
      <c r="J10" s="20"/>
      <c r="K10" s="20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/>
      <c r="B11" s="1"/>
      <c r="C11" s="7" t="s">
        <v>86</v>
      </c>
      <c r="D11" s="23">
        <v>400</v>
      </c>
      <c r="E11" s="23">
        <v>2500</v>
      </c>
      <c r="F11" s="3" t="s">
        <v>88</v>
      </c>
      <c r="G11" s="3" t="s">
        <v>89</v>
      </c>
      <c r="H11" s="3" t="s">
        <v>90</v>
      </c>
      <c r="I11" s="3" t="s">
        <v>91</v>
      </c>
      <c r="J11" s="20"/>
      <c r="K11" s="20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/>
      <c r="B12" s="1"/>
      <c r="C12" s="7" t="s">
        <v>87</v>
      </c>
      <c r="D12" s="23">
        <v>10000</v>
      </c>
      <c r="E12" s="23">
        <v>25000</v>
      </c>
      <c r="F12" s="3" t="s">
        <v>88</v>
      </c>
      <c r="G12" s="3" t="s">
        <v>89</v>
      </c>
      <c r="H12" s="3"/>
      <c r="I12" s="3"/>
      <c r="J12" s="20"/>
      <c r="K12" s="20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/>
      <c r="B13" s="1"/>
      <c r="C13" s="7"/>
      <c r="D13" s="23"/>
      <c r="E13" s="23"/>
      <c r="F13" s="3"/>
      <c r="G13" s="3"/>
      <c r="H13" s="3"/>
      <c r="I13" s="3"/>
      <c r="J13" s="20"/>
      <c r="K13" s="20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/>
      <c r="B14" s="1"/>
      <c r="C14" s="7"/>
      <c r="D14" s="23"/>
      <c r="E14" s="23"/>
      <c r="F14" s="3"/>
      <c r="G14" s="3"/>
      <c r="H14" s="3"/>
      <c r="I14" s="3"/>
      <c r="J14" s="20"/>
      <c r="K14" s="20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/>
      <c r="B15" s="1"/>
      <c r="C15" s="7"/>
      <c r="D15" s="23"/>
      <c r="E15" s="23"/>
      <c r="F15" s="3"/>
      <c r="G15" s="3"/>
      <c r="H15" s="3"/>
      <c r="I15" s="3"/>
      <c r="J15" s="20"/>
      <c r="K15" s="20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2"/>
      <c r="B16" s="1"/>
      <c r="C16" s="7"/>
      <c r="D16" s="23"/>
      <c r="E16" s="23"/>
      <c r="F16" s="3"/>
      <c r="G16" s="3"/>
      <c r="H16" s="3"/>
      <c r="I16" s="3"/>
      <c r="J16" s="20"/>
      <c r="K16" s="20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2"/>
      <c r="B17" s="1"/>
      <c r="C17" s="7"/>
      <c r="D17" s="23"/>
      <c r="E17" s="23"/>
      <c r="F17" s="3"/>
      <c r="G17" s="3"/>
      <c r="H17" s="3"/>
      <c r="I17" s="3"/>
      <c r="J17" s="20"/>
      <c r="K17" s="20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2"/>
      <c r="B18" s="1"/>
      <c r="C18" s="7"/>
      <c r="D18" s="23"/>
      <c r="E18" s="23"/>
      <c r="F18" s="3"/>
      <c r="G18" s="3"/>
      <c r="H18" s="3"/>
      <c r="I18" s="3"/>
      <c r="J18" s="20"/>
      <c r="K18" s="20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2"/>
      <c r="B19" s="1"/>
      <c r="C19" s="7"/>
      <c r="D19" s="23"/>
      <c r="E19" s="23"/>
      <c r="F19" s="3"/>
      <c r="G19" s="3"/>
      <c r="H19" s="3"/>
      <c r="I19" s="3"/>
      <c r="J19" s="20"/>
      <c r="K19" s="20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2"/>
      <c r="B20" s="1"/>
      <c r="C20" s="7"/>
      <c r="D20" s="23"/>
      <c r="E20" s="23"/>
      <c r="F20" s="3"/>
      <c r="G20" s="3"/>
      <c r="H20" s="3"/>
      <c r="I20" s="3"/>
      <c r="J20" s="20"/>
      <c r="K20" s="20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2"/>
      <c r="B21" s="1"/>
      <c r="C21" s="7"/>
      <c r="D21" s="23"/>
      <c r="E21" s="23"/>
      <c r="F21" s="3"/>
      <c r="G21" s="3"/>
      <c r="H21" s="3"/>
      <c r="I21" s="3"/>
      <c r="J21" s="20"/>
      <c r="K21" s="20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2"/>
      <c r="B22" s="1"/>
      <c r="C22" s="7"/>
      <c r="D22" s="23"/>
      <c r="E22" s="23"/>
      <c r="F22" s="3"/>
      <c r="G22" s="3"/>
      <c r="H22" s="3"/>
      <c r="I22" s="3"/>
      <c r="J22" s="20"/>
      <c r="K22" s="20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2"/>
      <c r="B23" s="1"/>
      <c r="C23" s="7"/>
      <c r="D23" s="23"/>
      <c r="E23" s="23"/>
      <c r="F23" s="3"/>
      <c r="G23" s="3"/>
      <c r="H23" s="3"/>
      <c r="I23" s="3"/>
      <c r="J23" s="20"/>
      <c r="K23" s="20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2"/>
      <c r="B24" s="1"/>
      <c r="C24" s="7"/>
      <c r="D24" s="23"/>
      <c r="E24" s="23"/>
      <c r="F24" s="3"/>
      <c r="G24" s="3"/>
      <c r="H24" s="3"/>
      <c r="I24" s="3"/>
      <c r="J24" s="20"/>
      <c r="K24" s="20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2"/>
      <c r="B25" s="1"/>
      <c r="C25" s="7"/>
      <c r="D25" s="23"/>
      <c r="E25" s="23"/>
      <c r="F25" s="3"/>
      <c r="G25" s="3"/>
      <c r="H25" s="3"/>
      <c r="I25" s="3"/>
      <c r="J25" s="20"/>
      <c r="K25" s="20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2"/>
      <c r="B26" s="1"/>
      <c r="C26" s="7"/>
      <c r="D26" s="23"/>
      <c r="E26" s="23"/>
      <c r="F26" s="3"/>
      <c r="G26" s="3"/>
      <c r="H26" s="3"/>
      <c r="I26" s="3"/>
      <c r="J26" s="20"/>
      <c r="K26" s="20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2"/>
      <c r="B27" s="1"/>
      <c r="C27" s="7"/>
      <c r="D27" s="23"/>
      <c r="E27" s="23"/>
      <c r="F27" s="3"/>
      <c r="G27" s="3"/>
      <c r="H27" s="3"/>
      <c r="I27" s="3"/>
      <c r="J27" s="20"/>
      <c r="K27" s="20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1"/>
      <c r="C28" s="7"/>
      <c r="D28" s="23"/>
      <c r="E28" s="23"/>
      <c r="F28" s="3"/>
      <c r="G28" s="3"/>
      <c r="H28" s="3"/>
      <c r="I28" s="3"/>
      <c r="J28" s="20"/>
      <c r="K28" s="20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1"/>
      <c r="C29" s="7"/>
      <c r="D29" s="23"/>
      <c r="E29" s="23"/>
      <c r="F29" s="3"/>
      <c r="G29" s="3"/>
      <c r="H29" s="3"/>
      <c r="I29" s="3"/>
      <c r="J29" s="20"/>
      <c r="K29" s="20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1"/>
      <c r="C30" s="7"/>
      <c r="D30" s="23"/>
      <c r="E30" s="23"/>
      <c r="F30" s="3"/>
      <c r="G30" s="3"/>
      <c r="H30" s="3"/>
      <c r="I30" s="3"/>
      <c r="J30" s="20"/>
      <c r="K30" s="20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1"/>
      <c r="C31" s="7"/>
      <c r="D31" s="23"/>
      <c r="E31" s="23"/>
      <c r="F31" s="3"/>
      <c r="G31" s="3"/>
      <c r="H31" s="3"/>
      <c r="I31" s="3"/>
      <c r="J31" s="20"/>
      <c r="K31" s="2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1"/>
      <c r="C32" s="7"/>
      <c r="D32" s="23"/>
      <c r="E32" s="23"/>
      <c r="F32" s="3"/>
      <c r="G32" s="3"/>
      <c r="H32" s="3"/>
      <c r="I32" s="3"/>
      <c r="J32" s="20"/>
      <c r="K32" s="20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1"/>
      <c r="C33" s="7"/>
      <c r="D33" s="23"/>
      <c r="E33" s="23"/>
      <c r="F33" s="3"/>
      <c r="G33" s="3"/>
      <c r="H33" s="3"/>
      <c r="I33" s="3"/>
      <c r="J33" s="20"/>
      <c r="K33" s="20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1"/>
      <c r="C34" s="7"/>
      <c r="D34" s="23"/>
      <c r="E34" s="23"/>
      <c r="F34" s="3"/>
      <c r="G34" s="3"/>
      <c r="H34" s="3"/>
      <c r="I34" s="3"/>
      <c r="J34" s="20"/>
      <c r="K34" s="20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1"/>
      <c r="C35" s="7"/>
      <c r="D35" s="23"/>
      <c r="E35" s="23"/>
      <c r="F35" s="3"/>
      <c r="G35" s="3"/>
      <c r="H35" s="3"/>
      <c r="I35" s="3"/>
      <c r="J35" s="20"/>
      <c r="K35" s="20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1"/>
      <c r="C36" s="7"/>
      <c r="D36" s="23"/>
      <c r="E36" s="23"/>
      <c r="F36" s="3"/>
      <c r="G36" s="3"/>
      <c r="H36" s="3"/>
      <c r="I36" s="3"/>
      <c r="J36" s="20"/>
      <c r="K36" s="20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1"/>
      <c r="C37" s="7"/>
      <c r="D37" s="23"/>
      <c r="E37" s="23"/>
      <c r="F37" s="3"/>
      <c r="G37" s="3"/>
      <c r="H37" s="3"/>
      <c r="I37" s="3"/>
      <c r="J37" s="20"/>
      <c r="K37" s="20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2"/>
      <c r="B38" s="1"/>
      <c r="C38" s="7"/>
      <c r="D38" s="23"/>
      <c r="E38" s="23"/>
      <c r="F38" s="3"/>
      <c r="G38" s="3"/>
      <c r="H38" s="3"/>
      <c r="I38" s="3"/>
      <c r="J38" s="20"/>
      <c r="K38" s="20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2"/>
      <c r="B39" s="1"/>
      <c r="C39" s="7"/>
      <c r="D39" s="23"/>
      <c r="E39" s="23"/>
      <c r="F39" s="3"/>
      <c r="G39" s="3"/>
      <c r="H39" s="3"/>
      <c r="I39" s="3"/>
      <c r="J39" s="20"/>
      <c r="K39" s="20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2"/>
      <c r="B40" s="1"/>
      <c r="C40" s="7"/>
      <c r="D40" s="23"/>
      <c r="E40" s="23"/>
      <c r="F40" s="3"/>
      <c r="G40" s="3"/>
      <c r="H40" s="3"/>
      <c r="I40" s="3"/>
      <c r="J40" s="20"/>
      <c r="K40" s="20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2"/>
      <c r="B41" s="1"/>
      <c r="C41" s="7"/>
      <c r="D41" s="23"/>
      <c r="E41" s="23"/>
      <c r="F41" s="3"/>
      <c r="G41" s="3"/>
      <c r="H41" s="3"/>
      <c r="I41" s="3"/>
      <c r="J41" s="20"/>
      <c r="K41" s="20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2"/>
      <c r="B42" s="1"/>
      <c r="C42" s="7"/>
      <c r="D42" s="23"/>
      <c r="E42" s="23"/>
      <c r="F42" s="3"/>
      <c r="G42" s="3"/>
      <c r="H42" s="3"/>
      <c r="I42" s="3"/>
      <c r="J42" s="20"/>
      <c r="K42" s="20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2"/>
      <c r="B43" s="1"/>
      <c r="C43" s="7"/>
      <c r="D43" s="23"/>
      <c r="E43" s="23"/>
      <c r="F43" s="3"/>
      <c r="G43" s="3"/>
      <c r="H43" s="3"/>
      <c r="I43" s="3"/>
      <c r="J43" s="20"/>
      <c r="K43" s="20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2"/>
      <c r="B44" s="1"/>
      <c r="C44" s="7"/>
      <c r="D44" s="23"/>
      <c r="E44" s="23"/>
      <c r="F44" s="3"/>
      <c r="G44" s="3"/>
      <c r="H44" s="3"/>
      <c r="I44" s="3"/>
      <c r="J44" s="20"/>
      <c r="K44" s="2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2"/>
      <c r="B45" s="1"/>
      <c r="C45" s="7"/>
      <c r="D45" s="23"/>
      <c r="E45" s="23"/>
      <c r="F45" s="3"/>
      <c r="G45" s="3"/>
      <c r="H45" s="3"/>
      <c r="I45" s="3"/>
      <c r="J45" s="20"/>
      <c r="K45" s="20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2"/>
      <c r="B46" s="1"/>
      <c r="C46" s="7"/>
      <c r="D46" s="23"/>
      <c r="E46" s="23"/>
      <c r="F46" s="3"/>
      <c r="G46" s="3"/>
      <c r="H46" s="3"/>
      <c r="I46" s="3"/>
      <c r="J46" s="20"/>
      <c r="K46" s="20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2"/>
      <c r="B47" s="1"/>
      <c r="C47" s="7"/>
      <c r="D47" s="23"/>
      <c r="E47" s="23"/>
      <c r="F47" s="3"/>
      <c r="G47" s="3"/>
      <c r="H47" s="3"/>
      <c r="I47" s="3"/>
      <c r="J47" s="20"/>
      <c r="K47" s="20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2"/>
      <c r="B48" s="1"/>
      <c r="C48" s="7"/>
      <c r="D48" s="23"/>
      <c r="E48" s="23"/>
      <c r="F48" s="3"/>
      <c r="G48" s="3"/>
      <c r="H48" s="3"/>
      <c r="I48" s="3"/>
      <c r="J48" s="20"/>
      <c r="K48" s="20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2"/>
      <c r="B49" s="1"/>
      <c r="C49" s="7"/>
      <c r="D49" s="23"/>
      <c r="E49" s="23"/>
      <c r="F49" s="3"/>
      <c r="G49" s="3"/>
      <c r="H49" s="3"/>
      <c r="I49" s="3"/>
      <c r="J49" s="20"/>
      <c r="K49" s="20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2"/>
      <c r="B50" s="1"/>
      <c r="C50" s="7"/>
      <c r="D50" s="23"/>
      <c r="E50" s="23"/>
      <c r="F50" s="3"/>
      <c r="G50" s="3"/>
      <c r="H50" s="3"/>
      <c r="I50" s="3"/>
      <c r="J50" s="20"/>
      <c r="K50" s="2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mergeCells count="1">
    <mergeCell ref="F2: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12"/>
  <sheetViews>
    <sheetView workbookViewId="0">
      <selection activeCell="D5" sqref="D5"/>
    </sheetView>
  </sheetViews>
  <sheetFormatPr defaultRowHeight="15" x14ac:dyDescent="0.25"/>
  <cols>
    <col min="1" max="1" width="21.5703125" bestFit="1" customWidth="1"/>
  </cols>
  <sheetData>
    <row r="1" spans="1:2" x14ac:dyDescent="0.25">
      <c r="A1" s="42" t="s">
        <v>32</v>
      </c>
      <c r="B1" s="42"/>
    </row>
    <row r="2" spans="1:2" x14ac:dyDescent="0.25">
      <c r="A2" s="3" t="s">
        <v>33</v>
      </c>
      <c r="B2" s="3">
        <v>2</v>
      </c>
    </row>
    <row r="3" spans="1:2" x14ac:dyDescent="0.25">
      <c r="A3" s="3" t="s">
        <v>35</v>
      </c>
      <c r="B3" s="3">
        <v>1</v>
      </c>
    </row>
    <row r="4" spans="1:2" x14ac:dyDescent="0.25">
      <c r="A4" s="3" t="s">
        <v>34</v>
      </c>
      <c r="B4" s="3">
        <v>0</v>
      </c>
    </row>
    <row r="5" spans="1:2" x14ac:dyDescent="0.25">
      <c r="A5" s="8"/>
      <c r="B5" s="8"/>
    </row>
    <row r="6" spans="1:2" x14ac:dyDescent="0.25">
      <c r="A6" s="6" t="s">
        <v>37</v>
      </c>
      <c r="B6" s="8"/>
    </row>
    <row r="7" spans="1:2" x14ac:dyDescent="0.25">
      <c r="A7" s="3" t="s">
        <v>38</v>
      </c>
      <c r="B7" s="8"/>
    </row>
    <row r="8" spans="1:2" x14ac:dyDescent="0.25">
      <c r="A8" s="3" t="s">
        <v>39</v>
      </c>
      <c r="B8" s="8"/>
    </row>
    <row r="9" spans="1:2" x14ac:dyDescent="0.25">
      <c r="A9" s="8"/>
      <c r="B9" s="8"/>
    </row>
    <row r="10" spans="1:2" x14ac:dyDescent="0.25">
      <c r="A10" s="8"/>
      <c r="B10" s="8"/>
    </row>
    <row r="11" spans="1:2" x14ac:dyDescent="0.25">
      <c r="A11" s="8"/>
      <c r="B11" s="8"/>
    </row>
    <row r="12" spans="1:2" x14ac:dyDescent="0.25">
      <c r="A12" s="8"/>
      <c r="B12" s="8"/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Calculadora</vt:lpstr>
      <vt:lpstr>Saved</vt:lpstr>
      <vt:lpstr>Orçamentos Salvos</vt:lpstr>
      <vt:lpstr>Custos Fixos</vt:lpstr>
      <vt:lpstr>Dados</vt:lpstr>
      <vt:lpstr>Validações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</dc:creator>
  <cp:lastModifiedBy>Pedro</cp:lastModifiedBy>
  <dcterms:created xsi:type="dcterms:W3CDTF">2024-10-20T17:39:33Z</dcterms:created>
  <dcterms:modified xsi:type="dcterms:W3CDTF">2024-11-17T21:02:29Z</dcterms:modified>
</cp:coreProperties>
</file>